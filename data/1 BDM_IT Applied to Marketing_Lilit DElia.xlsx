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https://esicedu-my.sharepoint.com/personal/virginia_castillo_esic_edu/Documents/VIRGINIA/CURSO IA ESIC/"/>
    </mc:Choice>
  </mc:AlternateContent>
  <xr:revisionPtr revIDLastSave="1" documentId="13_ncr:1_{FED047C4-03EC-6B48-AE6A-C972DAE51CA1}" xr6:coauthVersionLast="47" xr6:coauthVersionMax="47" xr10:uidLastSave="{7B031F1C-5731-46B3-A379-D8EEF9C07B40}"/>
  <bookViews>
    <workbookView xWindow="-108" yWindow="-108" windowWidth="23256" windowHeight="12456" xr2:uid="{00000000-000D-0000-FFFF-FFFF00000000}"/>
  </bookViews>
  <sheets>
    <sheet name="Notes" sheetId="5" r:id="rId1"/>
    <sheet name="Hoja1" sheetId="6" r:id="rId2"/>
    <sheet name="intrucciones" sheetId="4" r:id="rId3"/>
    <sheet name="Hoja3" sheetId="3" state="hidden"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5" l="1"/>
  <c r="I19" i="5"/>
  <c r="I10" i="5"/>
  <c r="I7" i="5"/>
  <c r="I8" i="5"/>
  <c r="I12" i="5"/>
  <c r="I13" i="5"/>
  <c r="I14" i="5"/>
  <c r="I15" i="5"/>
  <c r="I16" i="5"/>
  <c r="I17" i="5"/>
  <c r="I18" i="5"/>
  <c r="I20" i="5"/>
  <c r="I21" i="5"/>
  <c r="I22" i="5"/>
  <c r="I23" i="5"/>
  <c r="I24" i="5"/>
  <c r="I25" i="5"/>
  <c r="I26" i="5"/>
  <c r="I27" i="5"/>
  <c r="I28" i="5"/>
  <c r="I29" i="5"/>
  <c r="I30" i="5"/>
  <c r="I31" i="5"/>
  <c r="I32" i="5"/>
  <c r="I33" i="5"/>
  <c r="L19" i="6"/>
  <c r="L20" i="6"/>
  <c r="L21" i="6"/>
  <c r="L22" i="6"/>
  <c r="L23" i="6"/>
  <c r="L24" i="6"/>
  <c r="L25" i="6"/>
  <c r="L26" i="6"/>
  <c r="L27" i="6"/>
  <c r="L28" i="6"/>
  <c r="L29" i="6"/>
  <c r="L30" i="6"/>
  <c r="L31" i="6"/>
  <c r="L32" i="6"/>
  <c r="L33" i="6"/>
  <c r="L34" i="6"/>
  <c r="L35" i="6"/>
  <c r="L36" i="6"/>
  <c r="L37" i="6"/>
  <c r="L4" i="6"/>
  <c r="L5" i="6"/>
  <c r="L6" i="6"/>
  <c r="L7" i="6"/>
  <c r="L8" i="6"/>
  <c r="L9" i="6"/>
  <c r="L10" i="6"/>
  <c r="L11" i="6"/>
  <c r="L12" i="6"/>
  <c r="L13" i="6"/>
  <c r="L14" i="6"/>
  <c r="L15" i="6"/>
  <c r="L16" i="6"/>
  <c r="L17" i="6"/>
  <c r="L18" i="6"/>
  <c r="L3" i="6"/>
  <c r="F29" i="6"/>
  <c r="F30" i="6"/>
  <c r="F31" i="6"/>
  <c r="F32" i="6"/>
  <c r="F33" i="6"/>
  <c r="F34" i="6"/>
  <c r="F35" i="6"/>
  <c r="F2" i="6"/>
  <c r="F3" i="6"/>
  <c r="F4" i="6"/>
  <c r="F5" i="6"/>
  <c r="F6" i="6"/>
  <c r="F7" i="6"/>
  <c r="F8" i="6"/>
  <c r="F9" i="6"/>
  <c r="F10" i="6"/>
  <c r="F11" i="6"/>
  <c r="F12" i="6"/>
  <c r="F13" i="6"/>
  <c r="F14" i="6"/>
  <c r="F15" i="6"/>
  <c r="F16" i="6"/>
  <c r="F17" i="6"/>
  <c r="F18" i="6"/>
  <c r="F19" i="6"/>
  <c r="F20" i="6"/>
  <c r="F21" i="6"/>
  <c r="F22" i="6"/>
  <c r="F23" i="6"/>
  <c r="F24" i="6"/>
  <c r="F25" i="6"/>
  <c r="F26" i="6"/>
  <c r="F27" i="6"/>
  <c r="F28" i="6"/>
  <c r="F1" i="6"/>
  <c r="D25" i="6"/>
  <c r="D26" i="6"/>
  <c r="D27" i="6"/>
  <c r="D28" i="6"/>
  <c r="D29" i="6"/>
  <c r="D30" i="6"/>
  <c r="D31" i="6"/>
  <c r="D32" i="6"/>
  <c r="D33" i="6"/>
  <c r="D34" i="6"/>
  <c r="D35" i="6"/>
  <c r="D2" i="6"/>
  <c r="D3" i="6"/>
  <c r="D4" i="6"/>
  <c r="D5" i="6"/>
  <c r="D6" i="6"/>
  <c r="D7" i="6"/>
  <c r="D8" i="6"/>
  <c r="D9" i="6"/>
  <c r="D10" i="6"/>
  <c r="D11" i="6"/>
  <c r="D12" i="6"/>
  <c r="D13" i="6"/>
  <c r="D14" i="6"/>
  <c r="D15" i="6"/>
  <c r="D16" i="6"/>
  <c r="D17" i="6"/>
  <c r="D18" i="6"/>
  <c r="D19" i="6"/>
  <c r="D20" i="6"/>
  <c r="D21" i="6"/>
  <c r="D22" i="6"/>
  <c r="D23" i="6"/>
  <c r="D24" i="6"/>
  <c r="D1" i="6"/>
  <c r="I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Virginia Castillo</author>
  </authors>
  <commentList>
    <comment ref="A1" authorId="0" shapeId="0" xr:uid="{81C244F6-A2AD-488E-9559-7DC86F9C0E56}">
      <text>
        <r>
          <rPr>
            <b/>
            <sz val="9"/>
            <color indexed="81"/>
            <rFont val="Tahoma"/>
            <family val="2"/>
          </rPr>
          <t>Virginia Castillo:</t>
        </r>
        <r>
          <rPr>
            <sz val="9"/>
            <color indexed="81"/>
            <rFont val="Tahoma"/>
            <family val="2"/>
          </rPr>
          <t xml:space="preserve">
en esta celda ponemos el curso y grupo</t>
        </r>
      </text>
    </comment>
    <comment ref="A2" authorId="0" shapeId="0" xr:uid="{41CA968A-65F3-45D5-9874-DB1E9C0F0B76}">
      <text>
        <r>
          <rPr>
            <b/>
            <sz val="9"/>
            <color indexed="81"/>
            <rFont val="Tahoma"/>
            <family val="2"/>
          </rPr>
          <t>Virginia Castillo:</t>
        </r>
        <r>
          <rPr>
            <sz val="9"/>
            <color indexed="81"/>
            <rFont val="Tahoma"/>
            <family val="2"/>
          </rPr>
          <t xml:space="preserve">
aquí ponemos el nombre de la materia</t>
        </r>
      </text>
    </comment>
    <comment ref="C3" authorId="0" shapeId="0" xr:uid="{ADA8BB39-76F9-42ED-B51B-0747A96F6C50}">
      <text>
        <r>
          <rPr>
            <b/>
            <sz val="9"/>
            <color indexed="81"/>
            <rFont val="Tahoma"/>
            <family val="2"/>
          </rPr>
          <t>Virginia Castillo:</t>
        </r>
        <r>
          <rPr>
            <sz val="9"/>
            <color indexed="81"/>
            <rFont val="Tahoma"/>
            <family val="2"/>
          </rPr>
          <t xml:space="preserve">
Examen parcial que se realiza durante el semestre.
La fecha la establece el profesor según establezca la Guía Docente. 
</t>
        </r>
      </text>
    </comment>
    <comment ref="D3" authorId="0" shapeId="0" xr:uid="{8C94FD98-4F7F-4162-ACC4-FA70038E6523}">
      <text>
        <r>
          <rPr>
            <b/>
            <sz val="9"/>
            <color indexed="81"/>
            <rFont val="Tahoma"/>
            <family val="2"/>
          </rPr>
          <t>Virginia Castillo:</t>
        </r>
        <r>
          <rPr>
            <sz val="9"/>
            <color indexed="81"/>
            <rFont val="Tahoma"/>
            <family val="2"/>
          </rPr>
          <t xml:space="preserve">
Examen parcial que se realiza durante el semestre.
La fecha la establece el profesor según establezca la Guía Docente.</t>
        </r>
      </text>
    </comment>
    <comment ref="E3" authorId="0" shapeId="0" xr:uid="{19205243-0AE5-4279-8672-09EAFC15F35C}">
      <text>
        <r>
          <rPr>
            <b/>
            <sz val="9"/>
            <color indexed="81"/>
            <rFont val="Tahoma"/>
            <family val="2"/>
          </rPr>
          <t>Virginia Castillo:</t>
        </r>
        <r>
          <rPr>
            <sz val="9"/>
            <color indexed="81"/>
            <rFont val="Tahoma"/>
            <family val="2"/>
          </rPr>
          <t xml:space="preserve">
Examen final que se realiza, generalmente, durante el mes de enero o mayo según el semestre de la materia. Conocido también como 1ª convocatoria.
La fecha la establece la escuela. 
Aquel alumno que no se presente a examen teniendo la obligación de hacerlo obtendrá un NP como nota tanto del examen como de la materia en 1ª convocatoria. 
Están obligados a hcaer examen todos aquellos alumnos que han suspendido 1 o 2 parciales, o no se han presentado. Aquellos que quieran subir nota de la materia podrán presentarse.</t>
        </r>
      </text>
    </comment>
    <comment ref="F3" authorId="0" shapeId="0" xr:uid="{9AABF6DC-8AE9-4886-B7FF-057541017BCE}">
      <text>
        <r>
          <rPr>
            <b/>
            <sz val="9"/>
            <color indexed="81"/>
            <rFont val="Tahoma"/>
            <family val="2"/>
          </rPr>
          <t>Virginia Castillo:</t>
        </r>
        <r>
          <rPr>
            <sz val="9"/>
            <color indexed="81"/>
            <rFont val="Tahoma"/>
            <family val="2"/>
          </rPr>
          <t xml:space="preserve">
Trabajo obligatorio de la materia. 
Si el trabajo consta de parte individual y grupal, o oral y escrita,etc. se deberá poner la nota resultante de todo. NO dividimos % ni añadimos columnas.</t>
        </r>
      </text>
    </comment>
    <comment ref="G3" authorId="0" shapeId="0" xr:uid="{5BB8C6EC-6E55-42D0-8BFF-8D4BC30A929E}">
      <text>
        <r>
          <rPr>
            <b/>
            <sz val="9"/>
            <color indexed="81"/>
            <rFont val="Tahoma"/>
            <family val="2"/>
          </rPr>
          <t>Virginia Castillo:</t>
        </r>
        <r>
          <rPr>
            <sz val="9"/>
            <color indexed="81"/>
            <rFont val="Tahoma"/>
            <family val="2"/>
          </rPr>
          <t xml:space="preserve">
Nota de la participación activa durante el semestre. Este ítem no tiene opción a recupareción.
</t>
        </r>
      </text>
    </comment>
    <comment ref="H3" authorId="0" shapeId="0" xr:uid="{838D6FF4-8C42-4DC8-AA16-5ACCD84D1BE8}">
      <text>
        <r>
          <rPr>
            <b/>
            <sz val="9"/>
            <color indexed="81"/>
            <rFont val="Tahoma"/>
            <family val="2"/>
          </rPr>
          <t>Virginia Castillo:</t>
        </r>
        <r>
          <rPr>
            <sz val="9"/>
            <color indexed="81"/>
            <rFont val="Tahoma"/>
            <family val="2"/>
          </rPr>
          <t xml:space="preserve">
% de faltas del alumno. Se extraen del Campus Virtual. Solamente son imporntantes aquellas que superan el % permitido por la escuela (15%)
</t>
        </r>
      </text>
    </comment>
    <comment ref="I3" authorId="0" shapeId="0" xr:uid="{C69CF89D-BE51-4609-B485-07ED2C459B13}">
      <text>
        <r>
          <rPr>
            <b/>
            <sz val="9"/>
            <color rgb="FF000000"/>
            <rFont val="Tahoma"/>
            <family val="2"/>
          </rPr>
          <t>Virginia Castillo:</t>
        </r>
        <r>
          <rPr>
            <sz val="9"/>
            <color rgb="FF000000"/>
            <rFont val="Tahoma"/>
            <family val="2"/>
          </rPr>
          <t xml:space="preserve">
</t>
        </r>
        <r>
          <rPr>
            <sz val="9"/>
            <color rgb="FF000000"/>
            <rFont val="Tahoma"/>
            <family val="2"/>
          </rPr>
          <t xml:space="preserve">Aquí pondremos la nota final de cada alumno una vez acabado el semestre.
</t>
        </r>
        <r>
          <rPr>
            <sz val="9"/>
            <color rgb="FF000000"/>
            <rFont val="Tahoma"/>
            <family val="2"/>
          </rPr>
          <t xml:space="preserve">La nota final será el resultado de la suma de cada una de las piezas evaluativas ponderadas según Guía Docente. 
</t>
        </r>
        <r>
          <rPr>
            <sz val="9"/>
            <color rgb="FF000000"/>
            <rFont val="Tahoma"/>
            <family val="2"/>
          </rPr>
          <t xml:space="preserve">
</t>
        </r>
        <r>
          <rPr>
            <sz val="9"/>
            <color rgb="FF000000"/>
            <rFont val="Tahoma"/>
            <family val="2"/>
          </rPr>
          <t xml:space="preserve">IMPORTANTE! El alumno que supera el 15% de asistencia no puntua como el resto (en la Guia Docente aparecerá cómo puntuamos en este caso)
</t>
        </r>
        <r>
          <rPr>
            <sz val="9"/>
            <color rgb="FF000000"/>
            <rFont val="Tahoma"/>
            <family val="2"/>
          </rPr>
          <t xml:space="preserve">
</t>
        </r>
        <r>
          <rPr>
            <sz val="9"/>
            <color rgb="FF000000"/>
            <rFont val="Tahoma"/>
            <family val="2"/>
          </rPr>
          <t>IMPORTANTE! para poder aprobar la materia deben estar aprobados tanto examen como trabajo obligatorio. Si se supende alguno de estos ítems forzaremos la nota a (máximo) un 4.</t>
        </r>
      </text>
    </comment>
    <comment ref="J3" authorId="0" shapeId="0" xr:uid="{9D07DCA3-FFBA-4D5C-BE70-3D4EEDED5676}">
      <text>
        <r>
          <rPr>
            <b/>
            <sz val="9"/>
            <color indexed="81"/>
            <rFont val="Tahoma"/>
            <family val="2"/>
          </rPr>
          <t>Virginia Castillo:</t>
        </r>
        <r>
          <rPr>
            <sz val="9"/>
            <color indexed="81"/>
            <rFont val="Tahoma"/>
            <family val="2"/>
          </rPr>
          <t xml:space="preserve">
Examen de recuperación que se realiza SIEMPRE en junio y julio, independientemente del semestre de la materia. También conocido como 2ª convocatoria.
La fecha la establece la escuela.</t>
        </r>
      </text>
    </comment>
    <comment ref="K3" authorId="0" shapeId="0" xr:uid="{8054B612-3405-47A9-9F4D-2566D6F8062D}">
      <text>
        <r>
          <rPr>
            <b/>
            <sz val="9"/>
            <color indexed="81"/>
            <rFont val="Tahoma"/>
            <family val="2"/>
          </rPr>
          <t>Virginia Castillo:</t>
        </r>
        <r>
          <rPr>
            <sz val="9"/>
            <color indexed="81"/>
            <rFont val="Tahoma"/>
            <family val="2"/>
          </rPr>
          <t xml:space="preserve">
Trabajo de recuperación en 2ª convocatoria. 
La fecha de entrega será la misma que la establecida para el examen final de la materia siempre y cuando el profesor no haya establecido una fecha distinta (esta fecha deberá ser SIEMPRE antes del examen de recuperación y deberá informar a los alumnos en clase y con comunicado en el Canvas de la materia)</t>
        </r>
      </text>
    </comment>
    <comment ref="L3" authorId="0" shapeId="0" xr:uid="{E4C44C7A-97FC-48B5-B4C2-AC8770F91A08}">
      <text>
        <r>
          <rPr>
            <b/>
            <sz val="9"/>
            <color indexed="81"/>
            <rFont val="Tahoma"/>
            <family val="2"/>
          </rPr>
          <t>Virginia Castillo:</t>
        </r>
        <r>
          <rPr>
            <sz val="9"/>
            <color indexed="81"/>
            <rFont val="Tahoma"/>
            <family val="2"/>
          </rPr>
          <t xml:space="preserve">
Nota final de la materia una vez acabadas las recuperaciones/2ª convocatoria. 
Solamente es necesario poner aquellos alumnos que han realizado 2ª convocatoria. Los que ya han aprobado en 1ª convocatoria se dejarán en blanco.
Aquellos alumnos que no se presenten al examen o no presenten el trabajo (habiéndolos suspendido o habiendo suspendido la  materia) tendrán un NP como nota. </t>
        </r>
      </text>
    </comment>
    <comment ref="C4" authorId="0" shapeId="0" xr:uid="{E9CE6DF4-ECFC-4D3F-91FC-799D4D48AEBF}">
      <text>
        <r>
          <rPr>
            <b/>
            <sz val="9"/>
            <color rgb="FF000000"/>
            <rFont val="Tahoma"/>
            <family val="2"/>
          </rPr>
          <t>Virginia Castillo:</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
        </r>
        <r>
          <rPr>
            <sz val="9"/>
            <color rgb="FF000000"/>
            <rFont val="Tahoma"/>
            <family val="2"/>
          </rPr>
          <t xml:space="preserve">        TODOS los % de notas de cada ítem deben ser acordes con la Guía Docente de la materia.
</t>
        </r>
        <r>
          <rPr>
            <sz val="9"/>
            <color rgb="FF000000"/>
            <rFont val="Tahoma"/>
            <family val="2"/>
          </rPr>
          <t xml:space="preserve">
</t>
        </r>
        <r>
          <rPr>
            <sz val="9"/>
            <color rgb="FF000000"/>
            <rFont val="Tahoma"/>
            <family val="2"/>
          </rPr>
          <t>IMPORTANTE:  revisar los % establecidos en la Guía Docente y las posibles variaciones de estos en 2ª convocatoria.</t>
        </r>
      </text>
    </comment>
  </commentList>
</comments>
</file>

<file path=xl/sharedStrings.xml><?xml version="1.0" encoding="utf-8"?>
<sst xmlns="http://schemas.openxmlformats.org/spreadsheetml/2006/main" count="149" uniqueCount="121">
  <si>
    <t>TITULACION CURSO Y GRUPO</t>
  </si>
  <si>
    <t>NOMBRE ASIGNATURA</t>
  </si>
  <si>
    <t>TREBALL OBLIGAT</t>
  </si>
  <si>
    <t>PARTICIPA ACTIVA</t>
  </si>
  <si>
    <t>PRIMERA CONVO</t>
  </si>
  <si>
    <t>TREBALL RECU</t>
  </si>
  <si>
    <t>SEGONA CONVO</t>
  </si>
  <si>
    <t>PASOS PARA RELLENAR EXCEL</t>
  </si>
  <si>
    <t>Rellenar el apartado de grupo y nombre de asignatura.</t>
  </si>
  <si>
    <t>Modificar los porcentajes de cada pieza evaluativa según conste en la Guía Docente de la asignatura.</t>
  </si>
  <si>
    <t>Extraer y rellenar el apartado de las faltas de asistencia así como el listado de alumnos.</t>
  </si>
  <si>
    <t>*importante: diferenciar los estudiantes DX y los porcentajes a ponderar.</t>
  </si>
  <si>
    <t>ALUMNES DX</t>
  </si>
  <si>
    <t>N/A</t>
  </si>
  <si>
    <t>PARCIAL 1</t>
  </si>
  <si>
    <t>PARCIAL 2</t>
  </si>
  <si>
    <t>EXAMEN FINAL/1 CONVO</t>
  </si>
  <si>
    <t>FALTAS %</t>
  </si>
  <si>
    <t>NOTA FINAL (SIN RECU)</t>
  </si>
  <si>
    <t>EXAMEN RECU/ 2 CONV</t>
  </si>
  <si>
    <t>NOTA FINAL 2 CONV</t>
  </si>
  <si>
    <t>APELLIDOS</t>
  </si>
  <si>
    <t>NOMBRE</t>
  </si>
  <si>
    <t>EXAMEN RECU/ 2 CONVO</t>
  </si>
  <si>
    <t>en la hoja de intrucciones podrás encontrar respuesta a las preguntas que puedan surgir al rellenar este excel  (pestaña de debajo)</t>
  </si>
  <si>
    <t>NOTA FINAL (SIN RECU) 1 CONVO</t>
  </si>
  <si>
    <t>FAQS</t>
  </si>
  <si>
    <r>
      <rPr>
        <sz val="11"/>
        <color theme="8" tint="-0.249977111117893"/>
        <rFont val="Calibri"/>
        <family val="2"/>
        <scheme val="minor"/>
      </rPr>
      <t>¿qué hago si no tengo parcial y solamente hay final?</t>
    </r>
    <r>
      <rPr>
        <sz val="11"/>
        <color theme="1"/>
        <rFont val="Calibri"/>
        <family val="2"/>
        <scheme val="minor"/>
      </rPr>
      <t xml:space="preserve"> Solamente rellenamos columna de examen final</t>
    </r>
  </si>
  <si>
    <r>
      <rPr>
        <sz val="11"/>
        <color theme="8" tint="-0.249977111117893"/>
        <rFont val="Calibri"/>
        <family val="2"/>
        <scheme val="minor"/>
      </rPr>
      <t>¿qué pasa si un alumno ha suspendio el examen o el TO y la media de la materia está aprobada?</t>
    </r>
    <r>
      <rPr>
        <sz val="11"/>
        <color theme="1"/>
        <rFont val="Calibri"/>
        <family val="2"/>
        <scheme val="minor"/>
      </rPr>
      <t xml:space="preserve"> Forzaremos la nota a un 4.</t>
    </r>
  </si>
  <si>
    <r>
      <rPr>
        <sz val="11"/>
        <color theme="8" tint="-0.249977111117893"/>
        <rFont val="Calibri"/>
        <family val="2"/>
        <scheme val="minor"/>
      </rPr>
      <t>¿qué pasa si un alumno supera el % máximo de faltas?</t>
    </r>
    <r>
      <rPr>
        <sz val="11"/>
        <color theme="1"/>
        <rFont val="Calibri"/>
        <family val="2"/>
        <scheme val="minor"/>
      </rPr>
      <t xml:space="preserve"> Miraremos en la Guia Docente como proceder. Generalmente solo se contabilizará la nota PONDERADA del exámen final, al cual se debe presentar obligatoriamente.</t>
    </r>
  </si>
  <si>
    <r>
      <rPr>
        <sz val="11"/>
        <color theme="8" tint="-0.249977111117893"/>
        <rFont val="Calibri"/>
        <family val="2"/>
        <scheme val="minor"/>
      </rPr>
      <t>¿qué pasa si un alumno no se presenta al examen final o no presenta el trabajo?</t>
    </r>
    <r>
      <rPr>
        <sz val="11"/>
        <color theme="1"/>
        <rFont val="Calibri"/>
        <family val="2"/>
        <scheme val="minor"/>
      </rPr>
      <t xml:space="preserve"> Le pondremos como nota NP (no presentado) tanto en el examen/trabajo como en la nota final.</t>
    </r>
  </si>
  <si>
    <r>
      <rPr>
        <sz val="11"/>
        <color theme="8" tint="-0.249977111117893"/>
        <rFont val="Calibri"/>
        <family val="2"/>
        <scheme val="minor"/>
      </rPr>
      <t>¿cómo calculo la nota ponderada?</t>
    </r>
    <r>
      <rPr>
        <sz val="11"/>
        <color theme="1"/>
        <rFont val="Calibri"/>
        <family val="2"/>
        <scheme val="minor"/>
      </rPr>
      <t xml:space="preserve"> Ejemplo: si un alumno saca un 6,5 en el examen y éste vale el 50% de la nota global la formula será la siguiente: </t>
    </r>
    <r>
      <rPr>
        <sz val="11"/>
        <color rgb="FF00B050"/>
        <rFont val="Calibri"/>
        <family val="2"/>
        <scheme val="minor"/>
      </rPr>
      <t xml:space="preserve">6,5*0,5 </t>
    </r>
    <r>
      <rPr>
        <sz val="11"/>
        <color theme="1"/>
        <rFont val="Calibri"/>
        <family val="2"/>
        <scheme val="minor"/>
      </rPr>
      <t xml:space="preserve">. 3,5 será la putuación del examen a sumar en el total de la nota </t>
    </r>
  </si>
  <si>
    <r>
      <rPr>
        <sz val="11"/>
        <color theme="8" tint="-0.249977111117893"/>
        <rFont val="Calibri"/>
        <family val="2"/>
        <scheme val="minor"/>
      </rPr>
      <t>¿qué pasa si mi materia no tiene 2 parciales?</t>
    </r>
    <r>
      <rPr>
        <sz val="11"/>
        <color theme="1"/>
        <rFont val="Calibri"/>
        <family val="2"/>
        <scheme val="minor"/>
      </rPr>
      <t xml:space="preserve"> Rellenamos solamente 1 columna de examen.</t>
    </r>
  </si>
  <si>
    <r>
      <rPr>
        <sz val="11"/>
        <color theme="8" tint="-0.249977111117893"/>
        <rFont val="Calibri"/>
        <family val="2"/>
        <scheme val="minor"/>
      </rPr>
      <t xml:space="preserve">¿qué pasa si mi grupo está dividido en 2 listas por ser de diferentes grupos (TSND y PAHD por ejemplo)? </t>
    </r>
    <r>
      <rPr>
        <sz val="11"/>
        <color theme="1"/>
        <rFont val="Calibri"/>
        <family val="2"/>
        <scheme val="minor"/>
      </rPr>
      <t>Podemos unificar el excel o hacer 2 diferentes.</t>
    </r>
  </si>
  <si>
    <r>
      <rPr>
        <sz val="11"/>
        <color theme="8" tint="-0.249977111117893"/>
        <rFont val="Calibri"/>
        <family val="2"/>
        <scheme val="minor"/>
      </rPr>
      <t>¿qué pasa si un alumno suspende la materia habiendo aprobado examen y trabajo?</t>
    </r>
    <r>
      <rPr>
        <sz val="11"/>
        <color theme="1"/>
        <rFont val="Calibri"/>
        <family val="2"/>
        <scheme val="minor"/>
      </rPr>
      <t xml:space="preserve"> Si la media está suspendida, el alumno suspende. La Participación Activa es la clave en estos casos y los alumnos deben aceptar el resultado. Podrán subir nota presentándose al examen final o 2ª convocatoria. </t>
    </r>
  </si>
  <si>
    <r>
      <rPr>
        <sz val="11"/>
        <color theme="8" tint="-0.249977111117893"/>
        <rFont val="Calibri"/>
        <family val="2"/>
        <scheme val="minor"/>
      </rPr>
      <t>¿si un alumno suspende el examen final, debe entregar también un trabajo nuevo?</t>
    </r>
    <r>
      <rPr>
        <sz val="11"/>
        <color theme="1"/>
        <rFont val="Calibri"/>
        <family val="2"/>
        <scheme val="minor"/>
      </rPr>
      <t xml:space="preserve"> No, siempre que el trabajo esté aprobado. Igual pasa en el caso inverso, el alumno que aprueba examen y suspende trabajo, solamente entrega un trabajo nuevo.</t>
    </r>
  </si>
  <si>
    <r>
      <rPr>
        <sz val="11"/>
        <color theme="8" tint="-0.249977111117893"/>
        <rFont val="Calibri"/>
        <family val="2"/>
        <scheme val="minor"/>
      </rPr>
      <t xml:space="preserve">¿si un alumno suspende el trabajo durante el curso, puede entrega uno nuevo en la fecha de 1ª convocatoria? </t>
    </r>
    <r>
      <rPr>
        <sz val="11"/>
        <color theme="1"/>
        <rFont val="Calibri"/>
        <family val="2"/>
        <scheme val="minor"/>
      </rPr>
      <t>No. El trabajo obligatorio tiene la opción de ser aprobado en 2ª convocatoria si se ha suspendido al cursar la materia.</t>
    </r>
  </si>
  <si>
    <r>
      <rPr>
        <sz val="11"/>
        <color theme="8" tint="-0.249977111117893"/>
        <rFont val="Calibri"/>
        <family val="2"/>
        <scheme val="minor"/>
      </rPr>
      <t xml:space="preserve">¿dónde están las Guías Docentes de las materias? </t>
    </r>
    <r>
      <rPr>
        <sz val="11"/>
        <color theme="1"/>
        <rFont val="Calibri"/>
        <family val="2"/>
        <scheme val="minor"/>
      </rPr>
      <t xml:space="preserve">Los directores de titulación os las deben hacer llegar. También tenéis disponible el buscador de Guías https://www.esic.edu/buscador-guias-docentes/  </t>
    </r>
  </si>
  <si>
    <r>
      <rPr>
        <sz val="11"/>
        <color theme="8" tint="-0.249977111117893"/>
        <rFont val="Calibri"/>
        <family val="2"/>
        <scheme val="minor"/>
      </rPr>
      <t>¿puedo poner las notas de los alumnos ya ponderadas en el excel?</t>
    </r>
    <r>
      <rPr>
        <sz val="11"/>
        <color theme="1"/>
        <rFont val="Calibri"/>
        <family val="2"/>
        <scheme val="minor"/>
      </rPr>
      <t xml:space="preserve"> No, todas las notas deben ser del 0 al 10</t>
    </r>
  </si>
  <si>
    <r>
      <rPr>
        <sz val="11"/>
        <color theme="8" tint="-0.249977111117893"/>
        <rFont val="Calibri"/>
        <family val="2"/>
        <scheme val="minor"/>
      </rPr>
      <t xml:space="preserve">¿puedo entregar otro modelo de excel de notas? </t>
    </r>
    <r>
      <rPr>
        <sz val="11"/>
        <color theme="1"/>
        <rFont val="Calibri"/>
        <family val="2"/>
        <scheme val="minor"/>
      </rPr>
      <t>No, no se aceptarán excels que no sean con este modelo por motivos de calidad y auditoria.</t>
    </r>
  </si>
  <si>
    <r>
      <rPr>
        <sz val="11"/>
        <color theme="8" tint="-0.249977111117893"/>
        <rFont val="Calibri"/>
        <family val="2"/>
        <scheme val="minor"/>
      </rPr>
      <t>¿puedo quitarle una falta de asistencia a un alumno que suspende por superar el máximo de faltas permitido?</t>
    </r>
    <r>
      <rPr>
        <sz val="11"/>
        <color theme="1"/>
        <rFont val="Calibri"/>
        <family val="2"/>
        <scheme val="minor"/>
      </rPr>
      <t xml:space="preserve"> NO. La normativa en cuanto asistencia la tienen tanto en las Guías Docentes como en la Guía Académica y no se realizan cambios de faltas en ningún caso por parte del profesor.</t>
    </r>
  </si>
  <si>
    <t>4CGRMKT</t>
  </si>
  <si>
    <t>Plan de Marketing</t>
  </si>
  <si>
    <t>Alberich Gallardo</t>
  </si>
  <si>
    <t xml:space="preserve"> Marc</t>
  </si>
  <si>
    <t>Angulo Vega</t>
  </si>
  <si>
    <t xml:space="preserve"> Marcos</t>
  </si>
  <si>
    <t xml:space="preserve"> Ana</t>
  </si>
  <si>
    <t>Barnils Puig</t>
  </si>
  <si>
    <t xml:space="preserve"> Marina</t>
  </si>
  <si>
    <t>Bellmunt Ortiz De Landazuri</t>
  </si>
  <si>
    <t>Canudas Lanzas</t>
  </si>
  <si>
    <t xml:space="preserve"> Oriol</t>
  </si>
  <si>
    <t xml:space="preserve"> Jana</t>
  </si>
  <si>
    <t>Cortes Galia</t>
  </si>
  <si>
    <t xml:space="preserve"> Frank</t>
  </si>
  <si>
    <t xml:space="preserve"> Pau</t>
  </si>
  <si>
    <t>Girones Led</t>
  </si>
  <si>
    <t xml:space="preserve"> Alvaro</t>
  </si>
  <si>
    <t>Guindulain Ayala</t>
  </si>
  <si>
    <t xml:space="preserve"> Fernando</t>
  </si>
  <si>
    <t>Huaman Nole</t>
  </si>
  <si>
    <t xml:space="preserve"> Sergio</t>
  </si>
  <si>
    <t xml:space="preserve"> Antoni</t>
  </si>
  <si>
    <t>Mateu Morat√≥</t>
  </si>
  <si>
    <t xml:space="preserve"> Jordi</t>
  </si>
  <si>
    <t xml:space="preserve"> Pablo</t>
  </si>
  <si>
    <t>Mortal Mateos</t>
  </si>
  <si>
    <t xml:space="preserve"> Iker</t>
  </si>
  <si>
    <t>Palacios Boil</t>
  </si>
  <si>
    <t>Par√≠s Arderiu</t>
  </si>
  <si>
    <t xml:space="preserve"> Ignasi</t>
  </si>
  <si>
    <t>Qiu Wu</t>
  </si>
  <si>
    <t xml:space="preserve"> Sandra</t>
  </si>
  <si>
    <t xml:space="preserve"> Paula</t>
  </si>
  <si>
    <t>Rubinat Tena</t>
  </si>
  <si>
    <t>Ruiz  Rubio</t>
  </si>
  <si>
    <t xml:space="preserve"> Alexandre</t>
  </si>
  <si>
    <t xml:space="preserve"> J√∫lia</t>
  </si>
  <si>
    <t xml:space="preserve"> Laura</t>
  </si>
  <si>
    <t>Avila Caparrós</t>
  </si>
  <si>
    <t>Echeverría Martinez</t>
  </si>
  <si>
    <t>Lluís Griñó</t>
  </si>
  <si>
    <t>López Batista</t>
  </si>
  <si>
    <t xml:space="preserve"> Eduard Doménec</t>
  </si>
  <si>
    <t>Méndez Fernández</t>
  </si>
  <si>
    <t>Ramentol Buxadé</t>
  </si>
  <si>
    <t>Serra Ruipérez</t>
  </si>
  <si>
    <t>Tena Sánchez</t>
  </si>
  <si>
    <t xml:space="preserve"> Roger+B26:B27</t>
  </si>
  <si>
    <t xml:space="preserve"> Martí</t>
  </si>
  <si>
    <t>Castellà  Fonrodona</t>
  </si>
  <si>
    <t>1BDMB</t>
  </si>
  <si>
    <t>IT Applied to Marketing</t>
  </si>
  <si>
    <t xml:space="preserve"> Daniel</t>
  </si>
  <si>
    <t xml:space="preserve"> Vinyet</t>
  </si>
  <si>
    <t xml:space="preserve"> Stepan</t>
  </si>
  <si>
    <t xml:space="preserve"> Arnau</t>
  </si>
  <si>
    <t xml:space="preserve"> Mariam</t>
  </si>
  <si>
    <t xml:space="preserve"> Connor Robert James</t>
  </si>
  <si>
    <t xml:space="preserve"> Claudia</t>
  </si>
  <si>
    <t xml:space="preserve"> Cloe</t>
  </si>
  <si>
    <t xml:space="preserve"> Natali</t>
  </si>
  <si>
    <t xml:space="preserve"> Kamil</t>
  </si>
  <si>
    <t xml:space="preserve"> Melina</t>
  </si>
  <si>
    <t xml:space="preserve"> Carla</t>
  </si>
  <si>
    <t xml:space="preserve"> Malou</t>
  </si>
  <si>
    <t xml:space="preserve"> Anais</t>
  </si>
  <si>
    <t xml:space="preserve"> Aziz</t>
  </si>
  <si>
    <t xml:space="preserve"> Chloe</t>
  </si>
  <si>
    <t xml:space="preserve"> Edward</t>
  </si>
  <si>
    <t xml:space="preserve"> Camilla</t>
  </si>
  <si>
    <t xml:space="preserve"> Maria</t>
  </si>
  <si>
    <t xml:space="preserve"> Geraldine</t>
  </si>
  <si>
    <t xml:space="preserve"> Luisa</t>
  </si>
  <si>
    <t xml:space="preserve"> Gerardo Alfonso</t>
  </si>
  <si>
    <t xml:space="preserve"> Valeria</t>
  </si>
  <si>
    <t>MH 9,6</t>
  </si>
  <si>
    <t xml:space="preserve"> Júlia</t>
  </si>
  <si>
    <t xml:space="preserve"> Lucía</t>
  </si>
  <si>
    <t xml:space="preserve"> Natália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</si>
</sst>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
  </numFmts>
  <fonts count="24">
    <font>
      <sz val="11"/>
      <color theme="1"/>
      <name val="Calibri"/>
      <family val="2"/>
      <scheme val="minor"/>
    </font>
    <font>
      <sz val="9"/>
      <color theme="1"/>
      <name val="Calibri"/>
      <family val="2"/>
      <scheme val="minor"/>
    </font>
    <font>
      <sz val="11"/>
      <name val="Calibri"/>
      <family val="2"/>
    </font>
    <font>
      <sz val="11"/>
      <name val="Calibri"/>
      <family val="2"/>
    </font>
    <font>
      <sz val="11"/>
      <color theme="1"/>
      <name val="Calibri"/>
      <family val="2"/>
      <scheme val="minor"/>
    </font>
    <font>
      <b/>
      <sz val="9"/>
      <color theme="0"/>
      <name val="Calibri"/>
      <family val="2"/>
      <scheme val="minor"/>
    </font>
    <font>
      <b/>
      <sz val="9"/>
      <color theme="1"/>
      <name val="Calibri"/>
      <family val="2"/>
      <scheme val="minor"/>
    </font>
    <font>
      <sz val="9"/>
      <name val="Calibri"/>
      <family val="2"/>
      <scheme val="minor"/>
    </font>
    <font>
      <b/>
      <sz val="9"/>
      <name val="Calibri"/>
      <family val="2"/>
      <scheme val="minor"/>
    </font>
    <font>
      <sz val="9"/>
      <color rgb="FFFF0000"/>
      <name val="Calibri"/>
      <family val="2"/>
      <scheme val="minor"/>
    </font>
    <font>
      <sz val="9"/>
      <color indexed="8"/>
      <name val="Calibri"/>
      <family val="2"/>
      <scheme val="minor"/>
    </font>
    <font>
      <b/>
      <sz val="8"/>
      <color theme="1"/>
      <name val="Calibri"/>
      <family val="2"/>
      <scheme val="minor"/>
    </font>
    <font>
      <b/>
      <sz val="11"/>
      <color theme="0"/>
      <name val="Calibri"/>
      <family val="2"/>
      <scheme val="minor"/>
    </font>
    <font>
      <sz val="9"/>
      <color indexed="81"/>
      <name val="Tahoma"/>
      <family val="2"/>
    </font>
    <font>
      <b/>
      <sz val="9"/>
      <color indexed="81"/>
      <name val="Tahoma"/>
      <family val="2"/>
    </font>
    <font>
      <b/>
      <sz val="16"/>
      <color rgb="FF00B050"/>
      <name val="Calibri"/>
      <family val="2"/>
      <scheme val="minor"/>
    </font>
    <font>
      <sz val="11"/>
      <color rgb="FF00B050"/>
      <name val="Calibri"/>
      <family val="2"/>
      <scheme val="minor"/>
    </font>
    <font>
      <b/>
      <sz val="11"/>
      <color rgb="FFFF0000"/>
      <name val="Calibri"/>
      <family val="2"/>
      <scheme val="minor"/>
    </font>
    <font>
      <sz val="11"/>
      <color theme="8" tint="-0.249977111117893"/>
      <name val="Calibri"/>
      <family val="2"/>
      <scheme val="minor"/>
    </font>
    <font>
      <b/>
      <sz val="9"/>
      <color rgb="FF000000"/>
      <name val="Tahoma"/>
      <family val="2"/>
    </font>
    <font>
      <sz val="9"/>
      <color rgb="FF000000"/>
      <name val="Tahoma"/>
      <family val="2"/>
    </font>
    <font>
      <b/>
      <sz val="9"/>
      <color indexed="8"/>
      <name val="Calibri"/>
      <family val="2"/>
      <scheme val="minor"/>
    </font>
    <font>
      <sz val="10"/>
      <color rgb="FF000000"/>
      <name val="Helvetica Neue"/>
      <family val="2"/>
    </font>
    <font>
      <sz val="11"/>
      <color rgb="FF0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diagonal/>
    </border>
  </borders>
  <cellStyleXfs count="4">
    <xf numFmtId="0" fontId="0" fillId="0" borderId="0"/>
    <xf numFmtId="0" fontId="2" fillId="0" borderId="0"/>
    <xf numFmtId="0" fontId="3" fillId="0" borderId="0"/>
    <xf numFmtId="164" fontId="4" fillId="0" borderId="0" applyFont="0" applyFill="0" applyBorder="0" applyAlignment="0" applyProtection="0"/>
  </cellStyleXfs>
  <cellXfs count="58">
    <xf numFmtId="0" fontId="0" fillId="0" borderId="0" xfId="0"/>
    <xf numFmtId="0" fontId="1" fillId="0" borderId="0" xfId="0" applyFont="1"/>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xf>
    <xf numFmtId="0" fontId="6" fillId="0" borderId="0" xfId="0" applyFont="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165" fontId="7" fillId="4" borderId="1" xfId="0" applyNumberFormat="1"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1" fillId="0" borderId="1" xfId="0" applyFont="1" applyBorder="1"/>
    <xf numFmtId="165" fontId="7" fillId="0" borderId="1" xfId="0" applyNumberFormat="1" applyFont="1" applyBorder="1" applyAlignment="1">
      <alignment horizontal="center"/>
    </xf>
    <xf numFmtId="0" fontId="1" fillId="0" borderId="0" xfId="0" applyFont="1" applyAlignment="1">
      <alignment horizontal="center"/>
    </xf>
    <xf numFmtId="9" fontId="6"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0" borderId="0" xfId="0" applyFont="1" applyAlignment="1">
      <alignment horizontal="center"/>
    </xf>
    <xf numFmtId="0" fontId="1" fillId="0" borderId="1"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0" fillId="2" borderId="1" xfId="0"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165" fontId="10" fillId="6" borderId="1" xfId="3" applyNumberFormat="1" applyFont="1" applyFill="1" applyBorder="1" applyAlignment="1">
      <alignment horizontal="center" vertical="center"/>
    </xf>
    <xf numFmtId="165" fontId="9" fillId="6" borderId="1" xfId="3" applyNumberFormat="1" applyFont="1" applyFill="1" applyBorder="1" applyAlignment="1">
      <alignment horizontal="center" vertical="center"/>
    </xf>
    <xf numFmtId="0" fontId="1" fillId="6" borderId="1" xfId="0" applyFont="1" applyFill="1" applyBorder="1" applyAlignment="1">
      <alignment horizontal="center"/>
    </xf>
    <xf numFmtId="0" fontId="0" fillId="6" borderId="1" xfId="0" applyFill="1" applyBorder="1" applyAlignment="1">
      <alignment horizontal="center"/>
    </xf>
    <xf numFmtId="165" fontId="8" fillId="6" borderId="1" xfId="0" applyNumberFormat="1" applyFont="1" applyFill="1" applyBorder="1" applyAlignment="1">
      <alignment horizontal="center" vertical="center" wrapText="1"/>
    </xf>
    <xf numFmtId="165" fontId="7" fillId="6" borderId="1" xfId="0" applyNumberFormat="1" applyFont="1" applyFill="1" applyBorder="1" applyAlignment="1">
      <alignment horizontal="center"/>
    </xf>
    <xf numFmtId="0" fontId="17" fillId="7" borderId="0" xfId="0" applyFont="1" applyFill="1" applyAlignment="1">
      <alignment horizontal="center"/>
    </xf>
    <xf numFmtId="0" fontId="0" fillId="0" borderId="13" xfId="0" applyBorder="1"/>
    <xf numFmtId="0" fontId="0" fillId="0" borderId="1" xfId="0" applyBorder="1"/>
    <xf numFmtId="0" fontId="1" fillId="0" borderId="1" xfId="0" applyFont="1" applyBorder="1" applyAlignment="1">
      <alignment horizontal="left"/>
    </xf>
    <xf numFmtId="165" fontId="1" fillId="0" borderId="1" xfId="0" applyNumberFormat="1" applyFont="1" applyBorder="1" applyAlignment="1">
      <alignment horizontal="left"/>
    </xf>
    <xf numFmtId="165" fontId="7" fillId="4" borderId="4" xfId="0" applyNumberFormat="1" applyFont="1" applyFill="1" applyBorder="1" applyAlignment="1">
      <alignment horizontal="left" vertical="center" wrapText="1"/>
    </xf>
    <xf numFmtId="165" fontId="7" fillId="0" borderId="4" xfId="0" applyNumberFormat="1" applyFont="1" applyBorder="1" applyAlignment="1">
      <alignment horizontal="left"/>
    </xf>
    <xf numFmtId="165" fontId="21" fillId="6" borderId="1" xfId="3" applyNumberFormat="1" applyFont="1" applyFill="1" applyBorder="1" applyAlignment="1">
      <alignment horizontal="center" vertical="center"/>
    </xf>
    <xf numFmtId="0" fontId="22" fillId="0" borderId="0" xfId="0" applyFont="1"/>
    <xf numFmtId="0" fontId="23" fillId="0" borderId="0" xfId="0" applyFont="1"/>
    <xf numFmtId="165" fontId="0" fillId="0" borderId="0" xfId="0" applyNumberFormat="1"/>
    <xf numFmtId="165" fontId="0" fillId="6" borderId="1" xfId="0" applyNumberFormat="1" applyFill="1" applyBorder="1" applyAlignment="1">
      <alignment horizontal="center"/>
    </xf>
    <xf numFmtId="2" fontId="7" fillId="0" borderId="4" xfId="0" applyNumberFormat="1" applyFont="1" applyBorder="1" applyAlignment="1">
      <alignment horizontal="left"/>
    </xf>
    <xf numFmtId="0" fontId="5" fillId="3" borderId="1" xfId="0" applyFont="1"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0" fontId="12" fillId="3" borderId="4" xfId="0" applyFont="1" applyFill="1" applyBorder="1" applyAlignment="1">
      <alignment horizontal="center"/>
    </xf>
    <xf numFmtId="0" fontId="15" fillId="0" borderId="0" xfId="0" applyFont="1" applyAlignment="1">
      <alignment horizontal="center" vertical="center" wrapText="1"/>
    </xf>
    <xf numFmtId="0" fontId="9" fillId="0" borderId="0" xfId="0" applyFont="1" applyAlignment="1">
      <alignment horizontal="left"/>
    </xf>
    <xf numFmtId="0" fontId="1" fillId="0" borderId="0" xfId="0" applyFont="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1" fillId="0" borderId="8" xfId="0" applyFont="1" applyBorder="1" applyAlignment="1">
      <alignment horizontal="left"/>
    </xf>
    <xf numFmtId="0" fontId="1" fillId="0" borderId="1" xfId="0" applyFont="1" applyBorder="1" applyAlignment="1">
      <alignment horizontal="left"/>
    </xf>
    <xf numFmtId="0" fontId="1" fillId="0" borderId="9" xfId="0" applyFont="1" applyBorder="1" applyAlignment="1">
      <alignment horizontal="left"/>
    </xf>
    <xf numFmtId="0" fontId="6" fillId="5" borderId="5" xfId="0" applyFont="1" applyFill="1" applyBorder="1" applyAlignment="1">
      <alignment horizontal="center"/>
    </xf>
    <xf numFmtId="0" fontId="6" fillId="5" borderId="6" xfId="0" applyFont="1" applyFill="1" applyBorder="1" applyAlignment="1">
      <alignment horizontal="center"/>
    </xf>
    <xf numFmtId="0" fontId="6" fillId="5" borderId="7" xfId="0" applyFont="1" applyFill="1" applyBorder="1" applyAlignment="1">
      <alignment horizontal="center"/>
    </xf>
  </cellXfs>
  <cellStyles count="4">
    <cellStyle name="Millares" xfId="3" builtinId="3"/>
    <cellStyle name="Normal" xfId="0" builtinId="0"/>
    <cellStyle name="Normal 2" xfId="1" xr:uid="{00000000-0005-0000-0000-000002000000}"/>
    <cellStyle name="Normal 3" xfId="2" xr:uid="{00000000-0005-0000-0000-000003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0093-7EBC-AA42-9517-A86E8514BBBF}">
  <dimension ref="A1:V44"/>
  <sheetViews>
    <sheetView tabSelected="1" topLeftCell="A26" workbookViewId="0">
      <selection activeCell="A6" sqref="A6:A33"/>
    </sheetView>
  </sheetViews>
  <sheetFormatPr baseColWidth="10" defaultColWidth="11.44140625" defaultRowHeight="14.4"/>
  <cols>
    <col min="1" max="1" width="36.33203125" style="2" bestFit="1" customWidth="1"/>
    <col min="2" max="2" width="15.6640625" style="1" customWidth="1"/>
    <col min="3" max="3" width="8.6640625" style="3" customWidth="1"/>
    <col min="4" max="4" width="8.44140625" style="3" customWidth="1"/>
    <col min="5" max="5" width="8.6640625" style="3" customWidth="1"/>
    <col min="6" max="6" width="9" style="3" customWidth="1"/>
    <col min="7" max="7" width="8.77734375" style="3" customWidth="1"/>
    <col min="8" max="8" width="7.109375" style="3" customWidth="1"/>
    <col min="9" max="9" width="9" style="3" customWidth="1"/>
    <col min="10" max="10" width="8.44140625" style="3" customWidth="1"/>
    <col min="11" max="11" width="8.109375" style="3" customWidth="1"/>
    <col min="12" max="12" width="8.77734375" style="3" customWidth="1"/>
    <col min="16" max="16" width="26.44140625" customWidth="1"/>
    <col min="18" max="18" width="26.44140625" customWidth="1"/>
  </cols>
  <sheetData>
    <row r="1" spans="1:22">
      <c r="A1" s="42" t="s">
        <v>92</v>
      </c>
      <c r="B1" s="42"/>
      <c r="C1" s="30"/>
      <c r="D1"/>
      <c r="E1"/>
      <c r="F1"/>
      <c r="G1"/>
      <c r="H1"/>
      <c r="I1"/>
      <c r="J1"/>
      <c r="K1"/>
      <c r="L1"/>
    </row>
    <row r="2" spans="1:22" s="5" customFormat="1" ht="12">
      <c r="A2" s="42" t="s">
        <v>93</v>
      </c>
      <c r="B2" s="42"/>
      <c r="C2" s="4"/>
      <c r="D2" s="4"/>
      <c r="E2" s="4"/>
      <c r="F2" s="4"/>
      <c r="G2" s="4"/>
      <c r="H2" s="4"/>
      <c r="I2" s="4"/>
      <c r="J2" s="4"/>
      <c r="K2" s="4"/>
      <c r="L2" s="4"/>
    </row>
    <row r="3" spans="1:22" s="16" customFormat="1" ht="37.5" customHeight="1">
      <c r="A3" s="14" t="s">
        <v>21</v>
      </c>
      <c r="B3" s="14" t="s">
        <v>22</v>
      </c>
      <c r="C3" s="15" t="s">
        <v>14</v>
      </c>
      <c r="D3" s="15" t="s">
        <v>15</v>
      </c>
      <c r="E3" s="15" t="s">
        <v>16</v>
      </c>
      <c r="F3" s="15" t="s">
        <v>2</v>
      </c>
      <c r="G3" s="15" t="s">
        <v>3</v>
      </c>
      <c r="H3" s="15" t="s">
        <v>17</v>
      </c>
      <c r="I3" s="15" t="s">
        <v>18</v>
      </c>
      <c r="J3" s="15" t="s">
        <v>19</v>
      </c>
      <c r="K3" s="15" t="s">
        <v>5</v>
      </c>
      <c r="L3" s="15" t="s">
        <v>20</v>
      </c>
      <c r="P3" s="12"/>
      <c r="Q3" s="12"/>
      <c r="R3" s="12"/>
      <c r="S3" s="1"/>
      <c r="T3" s="1"/>
      <c r="U3" s="1"/>
      <c r="V3" s="1"/>
    </row>
    <row r="4" spans="1:22" s="4" customFormat="1" ht="11.55" customHeight="1">
      <c r="A4" s="6"/>
      <c r="B4" s="6"/>
      <c r="C4" s="13">
        <v>0.25</v>
      </c>
      <c r="D4" s="13">
        <v>0.25</v>
      </c>
      <c r="E4" s="13">
        <v>0.5</v>
      </c>
      <c r="F4" s="13">
        <v>0.3</v>
      </c>
      <c r="G4" s="13">
        <v>0.2</v>
      </c>
      <c r="H4" s="7"/>
      <c r="I4" s="13">
        <v>1</v>
      </c>
      <c r="J4" s="13">
        <v>0.6</v>
      </c>
      <c r="K4" s="13">
        <v>0</v>
      </c>
      <c r="L4" s="7"/>
      <c r="P4" s="12"/>
      <c r="Q4" s="12"/>
      <c r="R4" s="12"/>
      <c r="S4"/>
      <c r="T4"/>
      <c r="U4"/>
      <c r="V4"/>
    </row>
    <row r="5" spans="1:22" s="4" customFormat="1" ht="11.55" customHeight="1">
      <c r="A5" s="6"/>
      <c r="B5" s="6"/>
      <c r="C5" s="13"/>
      <c r="D5" s="13"/>
      <c r="E5" s="13"/>
      <c r="F5" s="13"/>
      <c r="G5" s="13"/>
      <c r="H5" s="7"/>
      <c r="I5" s="7"/>
      <c r="J5" s="13"/>
      <c r="K5" s="13"/>
      <c r="L5" s="7"/>
      <c r="N5"/>
      <c r="P5" s="12"/>
      <c r="Q5" s="12"/>
      <c r="R5" s="12"/>
      <c r="S5"/>
      <c r="T5"/>
      <c r="U5"/>
      <c r="V5"/>
    </row>
    <row r="6" spans="1:22" s="4" customFormat="1" ht="15" customHeight="1">
      <c r="A6"/>
      <c r="B6" s="31" t="s">
        <v>94</v>
      </c>
      <c r="C6" s="32">
        <v>8.5</v>
      </c>
      <c r="D6" s="32">
        <v>7</v>
      </c>
      <c r="E6" s="34"/>
      <c r="F6" s="33">
        <v>10</v>
      </c>
      <c r="G6" s="32">
        <v>10</v>
      </c>
      <c r="H6" s="8"/>
      <c r="I6" s="23">
        <f>C6*$C$4+D6*$D$4+F6*$F$4+G6*$G$4</f>
        <v>8.875</v>
      </c>
      <c r="J6" s="9"/>
      <c r="K6" s="9"/>
      <c r="L6" s="27"/>
      <c r="P6" s="12"/>
      <c r="Q6" s="12"/>
      <c r="R6" s="12"/>
      <c r="S6"/>
      <c r="T6"/>
      <c r="U6"/>
      <c r="V6"/>
    </row>
    <row r="7" spans="1:22" s="12" customFormat="1" ht="15" customHeight="1">
      <c r="A7"/>
      <c r="B7" s="31" t="s">
        <v>95</v>
      </c>
      <c r="C7" s="32">
        <v>10</v>
      </c>
      <c r="D7" s="32">
        <v>6.5</v>
      </c>
      <c r="E7" s="35"/>
      <c r="F7" s="33">
        <v>8</v>
      </c>
      <c r="G7" s="32">
        <v>9.5</v>
      </c>
      <c r="H7" s="11"/>
      <c r="I7" s="23">
        <f t="shared" ref="I7:I33" si="0">C7*$C$4+D7*$D$4+F7*$F$4+G7*$G$4</f>
        <v>8.4250000000000007</v>
      </c>
      <c r="J7" s="11"/>
      <c r="K7" s="11"/>
      <c r="L7" s="28"/>
      <c r="S7"/>
      <c r="T7"/>
      <c r="U7"/>
      <c r="V7"/>
    </row>
    <row r="8" spans="1:22" s="12" customFormat="1" ht="15" customHeight="1">
      <c r="A8"/>
      <c r="B8" s="31" t="s">
        <v>96</v>
      </c>
      <c r="C8" s="32">
        <v>10</v>
      </c>
      <c r="D8" s="32">
        <v>8</v>
      </c>
      <c r="E8" s="35"/>
      <c r="F8" s="33">
        <v>10</v>
      </c>
      <c r="G8" s="32">
        <v>10</v>
      </c>
      <c r="H8" s="11"/>
      <c r="I8" s="23">
        <f t="shared" si="0"/>
        <v>9.5</v>
      </c>
      <c r="J8" s="11"/>
      <c r="K8" s="11"/>
      <c r="L8" s="28"/>
      <c r="N8"/>
      <c r="S8"/>
      <c r="T8"/>
      <c r="U8"/>
      <c r="V8"/>
    </row>
    <row r="9" spans="1:22" s="12" customFormat="1" ht="15" customHeight="1">
      <c r="A9"/>
      <c r="B9" s="31" t="s">
        <v>118</v>
      </c>
      <c r="C9" s="32">
        <v>10</v>
      </c>
      <c r="D9" s="32">
        <v>8.5</v>
      </c>
      <c r="E9" s="35"/>
      <c r="F9" s="33">
        <v>10</v>
      </c>
      <c r="G9" s="32">
        <v>10</v>
      </c>
      <c r="H9" s="11"/>
      <c r="I9" s="36" t="s">
        <v>117</v>
      </c>
      <c r="J9" s="11"/>
      <c r="K9" s="11"/>
      <c r="L9" s="28"/>
      <c r="N9"/>
      <c r="S9"/>
      <c r="T9"/>
      <c r="U9"/>
      <c r="V9"/>
    </row>
    <row r="10" spans="1:22" s="12" customFormat="1" ht="15" customHeight="1">
      <c r="A10"/>
      <c r="B10" s="31" t="s">
        <v>97</v>
      </c>
      <c r="C10" s="32">
        <v>8.5</v>
      </c>
      <c r="D10" s="32">
        <v>4</v>
      </c>
      <c r="E10" s="35">
        <v>8</v>
      </c>
      <c r="F10" s="33">
        <v>7</v>
      </c>
      <c r="G10" s="32">
        <v>9</v>
      </c>
      <c r="H10" s="11"/>
      <c r="I10" s="23">
        <f>+E10*$E$4+F10*$F$4+G10*$G$4</f>
        <v>7.8999999999999995</v>
      </c>
      <c r="J10" s="11"/>
      <c r="K10" s="11"/>
      <c r="L10" s="28"/>
      <c r="N10"/>
      <c r="S10"/>
      <c r="T10"/>
      <c r="U10"/>
      <c r="V10"/>
    </row>
    <row r="11" spans="1:22" s="12" customFormat="1" ht="15" customHeight="1">
      <c r="A11"/>
      <c r="B11" s="31" t="s">
        <v>119</v>
      </c>
      <c r="C11" s="32">
        <v>8</v>
      </c>
      <c r="D11" s="32">
        <v>3.5</v>
      </c>
      <c r="E11" s="35">
        <v>10</v>
      </c>
      <c r="F11" s="33">
        <v>8</v>
      </c>
      <c r="G11" s="32">
        <v>10</v>
      </c>
      <c r="H11" s="11"/>
      <c r="I11" s="23">
        <f>E11*$E$4+F11*$F$4+G11*$G$4</f>
        <v>9.4</v>
      </c>
      <c r="J11" s="11"/>
      <c r="K11" s="11"/>
      <c r="L11" s="28"/>
      <c r="N11"/>
      <c r="S11"/>
      <c r="T11"/>
      <c r="U11"/>
      <c r="V11"/>
    </row>
    <row r="12" spans="1:22" s="12" customFormat="1" ht="15" customHeight="1">
      <c r="A12"/>
      <c r="B12" s="31" t="s">
        <v>98</v>
      </c>
      <c r="C12" s="32">
        <v>8.5</v>
      </c>
      <c r="D12" s="32">
        <v>5.75</v>
      </c>
      <c r="E12" s="35"/>
      <c r="F12" s="33">
        <v>8</v>
      </c>
      <c r="G12" s="32">
        <v>8.75</v>
      </c>
      <c r="H12" s="11"/>
      <c r="I12" s="23">
        <f t="shared" si="0"/>
        <v>7.7125000000000004</v>
      </c>
      <c r="J12" s="11"/>
      <c r="K12" s="11"/>
      <c r="L12" s="28"/>
      <c r="N12"/>
      <c r="S12"/>
      <c r="T12"/>
      <c r="U12"/>
      <c r="V12"/>
    </row>
    <row r="13" spans="1:22" s="12" customFormat="1" ht="15" customHeight="1">
      <c r="A13"/>
      <c r="B13" s="31" t="s">
        <v>120</v>
      </c>
      <c r="C13" s="32">
        <v>10</v>
      </c>
      <c r="D13" s="32">
        <v>5</v>
      </c>
      <c r="E13" s="35"/>
      <c r="F13" s="33">
        <v>10</v>
      </c>
      <c r="G13" s="32">
        <v>10</v>
      </c>
      <c r="H13" s="11"/>
      <c r="I13" s="23">
        <f t="shared" si="0"/>
        <v>8.75</v>
      </c>
      <c r="J13" s="11"/>
      <c r="K13" s="11"/>
      <c r="L13" s="28"/>
      <c r="N13"/>
      <c r="S13"/>
      <c r="T13"/>
      <c r="U13"/>
      <c r="V13"/>
    </row>
    <row r="14" spans="1:22" s="12" customFormat="1" ht="15" customHeight="1">
      <c r="A14"/>
      <c r="B14" s="31" t="s">
        <v>99</v>
      </c>
      <c r="C14" s="32">
        <v>9.5</v>
      </c>
      <c r="D14" s="32">
        <v>5</v>
      </c>
      <c r="E14" s="35"/>
      <c r="F14" s="33">
        <v>7</v>
      </c>
      <c r="G14" s="32">
        <v>10</v>
      </c>
      <c r="H14" s="11"/>
      <c r="I14" s="23">
        <f t="shared" si="0"/>
        <v>7.7249999999999996</v>
      </c>
      <c r="J14" s="11"/>
      <c r="K14" s="11"/>
      <c r="L14" s="28"/>
      <c r="N14"/>
      <c r="S14"/>
      <c r="T14"/>
      <c r="U14"/>
      <c r="V14"/>
    </row>
    <row r="15" spans="1:22" s="12" customFormat="1" ht="15" customHeight="1">
      <c r="A15"/>
      <c r="B15" s="31" t="s">
        <v>100</v>
      </c>
      <c r="C15" s="32">
        <v>10</v>
      </c>
      <c r="D15" s="32">
        <v>7</v>
      </c>
      <c r="E15" s="35"/>
      <c r="F15" s="33">
        <v>10</v>
      </c>
      <c r="G15" s="32">
        <v>8.75</v>
      </c>
      <c r="H15" s="11"/>
      <c r="I15" s="23">
        <f t="shared" si="0"/>
        <v>9</v>
      </c>
      <c r="J15" s="11"/>
      <c r="K15" s="11"/>
      <c r="L15" s="28"/>
      <c r="N15"/>
      <c r="S15"/>
      <c r="T15"/>
      <c r="U15"/>
      <c r="V15"/>
    </row>
    <row r="16" spans="1:22" s="12" customFormat="1" ht="15" customHeight="1">
      <c r="A16"/>
      <c r="B16" s="31" t="s">
        <v>101</v>
      </c>
      <c r="C16" s="32">
        <v>8</v>
      </c>
      <c r="D16" s="32">
        <v>8</v>
      </c>
      <c r="E16" s="35"/>
      <c r="F16" s="33">
        <v>8</v>
      </c>
      <c r="G16" s="32">
        <v>8.75</v>
      </c>
      <c r="H16" s="11"/>
      <c r="I16" s="23">
        <f t="shared" si="0"/>
        <v>8.15</v>
      </c>
      <c r="J16" s="11"/>
      <c r="K16" s="11"/>
      <c r="L16" s="28"/>
      <c r="N16"/>
      <c r="S16"/>
      <c r="T16"/>
      <c r="U16"/>
      <c r="V16"/>
    </row>
    <row r="17" spans="1:22" s="12" customFormat="1" ht="15" customHeight="1">
      <c r="A17"/>
      <c r="B17" s="31" t="s">
        <v>102</v>
      </c>
      <c r="C17" s="32">
        <v>8.5</v>
      </c>
      <c r="D17" s="32">
        <v>6</v>
      </c>
      <c r="E17" s="35"/>
      <c r="F17" s="33">
        <v>7</v>
      </c>
      <c r="G17" s="32">
        <v>10</v>
      </c>
      <c r="H17" s="11"/>
      <c r="I17" s="23">
        <f t="shared" si="0"/>
        <v>7.7249999999999996</v>
      </c>
      <c r="J17" s="11"/>
      <c r="K17" s="11"/>
      <c r="L17" s="28"/>
      <c r="N17"/>
      <c r="S17"/>
      <c r="T17"/>
      <c r="U17"/>
      <c r="V17"/>
    </row>
    <row r="18" spans="1:22" s="12" customFormat="1" ht="15" customHeight="1">
      <c r="A18"/>
      <c r="B18" s="31" t="s">
        <v>103</v>
      </c>
      <c r="C18" s="32">
        <v>7</v>
      </c>
      <c r="D18" s="32">
        <v>7</v>
      </c>
      <c r="E18" s="35"/>
      <c r="F18" s="33">
        <v>7</v>
      </c>
      <c r="G18" s="32">
        <v>10</v>
      </c>
      <c r="H18" s="11"/>
      <c r="I18" s="23">
        <f t="shared" si="0"/>
        <v>7.6</v>
      </c>
      <c r="J18" s="11"/>
      <c r="K18" s="11"/>
      <c r="L18" s="28"/>
      <c r="N18"/>
      <c r="S18"/>
      <c r="T18"/>
      <c r="U18"/>
      <c r="V18"/>
    </row>
    <row r="19" spans="1:22" s="12" customFormat="1" ht="15" customHeight="1">
      <c r="A19"/>
      <c r="B19" s="31" t="s">
        <v>100</v>
      </c>
      <c r="C19" s="32">
        <v>10</v>
      </c>
      <c r="D19" s="32">
        <v>2</v>
      </c>
      <c r="E19" s="41">
        <v>7.75</v>
      </c>
      <c r="F19" s="33">
        <v>10</v>
      </c>
      <c r="G19" s="32">
        <v>9</v>
      </c>
      <c r="H19" s="11"/>
      <c r="I19" s="23">
        <f>E19*$E$4+F19*$F$4+G19*$G$4</f>
        <v>8.6750000000000007</v>
      </c>
      <c r="J19" s="11"/>
      <c r="K19" s="11"/>
      <c r="L19" s="28"/>
      <c r="N19"/>
      <c r="S19"/>
      <c r="T19"/>
      <c r="U19"/>
      <c r="V19"/>
    </row>
    <row r="20" spans="1:22" s="12" customFormat="1" ht="15" customHeight="1">
      <c r="A20"/>
      <c r="B20" s="31" t="s">
        <v>104</v>
      </c>
      <c r="C20" s="32">
        <v>9</v>
      </c>
      <c r="D20" s="32">
        <v>5.5</v>
      </c>
      <c r="E20" s="35"/>
      <c r="F20" s="33">
        <v>7</v>
      </c>
      <c r="G20" s="32">
        <v>10</v>
      </c>
      <c r="H20" s="11"/>
      <c r="I20" s="23">
        <f t="shared" si="0"/>
        <v>7.7249999999999996</v>
      </c>
      <c r="J20" s="11"/>
      <c r="K20" s="11"/>
      <c r="L20" s="28"/>
      <c r="N20"/>
      <c r="S20"/>
      <c r="T20"/>
      <c r="U20"/>
      <c r="V20"/>
    </row>
    <row r="21" spans="1:22" s="12" customFormat="1" ht="15" customHeight="1">
      <c r="A21"/>
      <c r="B21" s="31" t="s">
        <v>105</v>
      </c>
      <c r="C21" s="32">
        <v>10</v>
      </c>
      <c r="D21" s="32">
        <v>8</v>
      </c>
      <c r="E21" s="35"/>
      <c r="F21" s="33">
        <v>10</v>
      </c>
      <c r="G21" s="32">
        <v>10</v>
      </c>
      <c r="H21" s="11"/>
      <c r="I21" s="23">
        <f t="shared" si="0"/>
        <v>9.5</v>
      </c>
      <c r="J21" s="11"/>
      <c r="K21" s="11"/>
      <c r="L21" s="28"/>
      <c r="N21"/>
      <c r="S21"/>
      <c r="T21"/>
      <c r="U21"/>
      <c r="V21"/>
    </row>
    <row r="22" spans="1:22" s="12" customFormat="1" ht="15" customHeight="1">
      <c r="A22"/>
      <c r="B22" s="31" t="s">
        <v>106</v>
      </c>
      <c r="C22" s="32">
        <v>10</v>
      </c>
      <c r="D22" s="32">
        <v>7</v>
      </c>
      <c r="E22" s="35"/>
      <c r="F22" s="33">
        <v>10</v>
      </c>
      <c r="G22" s="32">
        <v>10</v>
      </c>
      <c r="H22" s="11"/>
      <c r="I22" s="23">
        <f t="shared" si="0"/>
        <v>9.25</v>
      </c>
      <c r="J22" s="11"/>
      <c r="K22" s="11"/>
      <c r="L22" s="28"/>
      <c r="N22"/>
      <c r="S22"/>
      <c r="T22"/>
      <c r="U22"/>
      <c r="V22"/>
    </row>
    <row r="23" spans="1:22" s="12" customFormat="1" ht="15" customHeight="1">
      <c r="A23"/>
      <c r="B23" s="31" t="s">
        <v>107</v>
      </c>
      <c r="C23" s="32">
        <v>7.5</v>
      </c>
      <c r="D23" s="32">
        <v>5.5</v>
      </c>
      <c r="E23" s="35"/>
      <c r="F23" s="33">
        <v>8</v>
      </c>
      <c r="G23" s="32">
        <v>10</v>
      </c>
      <c r="H23" s="11"/>
      <c r="I23" s="23">
        <f t="shared" si="0"/>
        <v>7.65</v>
      </c>
      <c r="J23" s="11"/>
      <c r="K23" s="11"/>
      <c r="L23" s="28"/>
      <c r="N23"/>
      <c r="S23"/>
      <c r="T23"/>
      <c r="U23"/>
      <c r="V23"/>
    </row>
    <row r="24" spans="1:22" s="12" customFormat="1" ht="15" customHeight="1">
      <c r="A24"/>
      <c r="B24" s="31" t="s">
        <v>108</v>
      </c>
      <c r="C24" s="32">
        <v>5</v>
      </c>
      <c r="D24" s="32">
        <v>5</v>
      </c>
      <c r="E24" s="35"/>
      <c r="F24" s="33">
        <v>7</v>
      </c>
      <c r="G24" s="32">
        <v>10</v>
      </c>
      <c r="H24" s="11"/>
      <c r="I24" s="23">
        <f t="shared" si="0"/>
        <v>6.6</v>
      </c>
      <c r="J24" s="11"/>
      <c r="K24" s="11"/>
      <c r="L24" s="28"/>
      <c r="N24"/>
      <c r="S24"/>
      <c r="T24"/>
      <c r="U24"/>
      <c r="V24"/>
    </row>
    <row r="25" spans="1:22" s="12" customFormat="1" ht="15" customHeight="1">
      <c r="A25"/>
      <c r="B25" s="31" t="s">
        <v>109</v>
      </c>
      <c r="C25" s="32">
        <v>7.5</v>
      </c>
      <c r="D25" s="32">
        <v>9</v>
      </c>
      <c r="E25" s="35"/>
      <c r="F25" s="33">
        <v>8</v>
      </c>
      <c r="G25" s="32">
        <v>10</v>
      </c>
      <c r="H25" s="11"/>
      <c r="I25" s="23">
        <f t="shared" si="0"/>
        <v>8.5250000000000004</v>
      </c>
      <c r="J25" s="11"/>
      <c r="K25" s="11"/>
      <c r="L25" s="28"/>
      <c r="N25"/>
      <c r="S25"/>
      <c r="T25"/>
      <c r="U25"/>
      <c r="V25"/>
    </row>
    <row r="26" spans="1:22" s="12" customFormat="1" ht="15" customHeight="1">
      <c r="A26"/>
      <c r="B26" s="31" t="s">
        <v>74</v>
      </c>
      <c r="C26" s="32">
        <v>9</v>
      </c>
      <c r="D26" s="32">
        <v>7.75</v>
      </c>
      <c r="E26" s="35"/>
      <c r="F26" s="33">
        <v>8</v>
      </c>
      <c r="G26" s="32">
        <v>10</v>
      </c>
      <c r="H26" s="11"/>
      <c r="I26" s="23">
        <f t="shared" si="0"/>
        <v>8.5875000000000004</v>
      </c>
      <c r="J26" s="11"/>
      <c r="K26" s="11"/>
      <c r="L26" s="28"/>
      <c r="N26"/>
      <c r="S26"/>
      <c r="T26"/>
      <c r="U26"/>
      <c r="V26"/>
    </row>
    <row r="27" spans="1:22" s="12" customFormat="1" ht="15" customHeight="1">
      <c r="A27"/>
      <c r="B27" s="31" t="s">
        <v>110</v>
      </c>
      <c r="C27" s="32">
        <v>9.5</v>
      </c>
      <c r="D27" s="32">
        <v>7.5</v>
      </c>
      <c r="E27" s="35"/>
      <c r="F27" s="33">
        <v>10</v>
      </c>
      <c r="G27" s="32">
        <v>8.75</v>
      </c>
      <c r="H27" s="11"/>
      <c r="I27" s="23">
        <f t="shared" si="0"/>
        <v>9</v>
      </c>
      <c r="J27" s="11"/>
      <c r="K27" s="11"/>
      <c r="L27" s="28"/>
      <c r="N27"/>
      <c r="S27"/>
      <c r="T27"/>
      <c r="U27"/>
      <c r="V27"/>
    </row>
    <row r="28" spans="1:22" s="12" customFormat="1" ht="15" customHeight="1">
      <c r="A28"/>
      <c r="B28" s="31" t="s">
        <v>111</v>
      </c>
      <c r="C28" s="32">
        <v>10</v>
      </c>
      <c r="D28" s="32">
        <v>8</v>
      </c>
      <c r="E28" s="35"/>
      <c r="F28" s="33">
        <v>10</v>
      </c>
      <c r="G28" s="32">
        <v>9.25</v>
      </c>
      <c r="H28" s="11"/>
      <c r="I28" s="23">
        <f t="shared" si="0"/>
        <v>9.35</v>
      </c>
      <c r="J28" s="11"/>
      <c r="K28" s="11"/>
      <c r="L28" s="28"/>
      <c r="N28"/>
      <c r="S28"/>
      <c r="T28"/>
      <c r="U28"/>
      <c r="V28"/>
    </row>
    <row r="29" spans="1:22" s="12" customFormat="1" ht="15" customHeight="1">
      <c r="A29"/>
      <c r="B29" s="31" t="s">
        <v>112</v>
      </c>
      <c r="C29" s="32">
        <v>10</v>
      </c>
      <c r="D29" s="32">
        <v>9</v>
      </c>
      <c r="E29" s="35"/>
      <c r="F29" s="33">
        <v>8</v>
      </c>
      <c r="G29" s="32">
        <v>10</v>
      </c>
      <c r="H29" s="11"/>
      <c r="I29" s="23">
        <f t="shared" si="0"/>
        <v>9.15</v>
      </c>
      <c r="J29" s="11"/>
      <c r="K29" s="11"/>
      <c r="L29" s="28"/>
      <c r="N29"/>
      <c r="S29"/>
      <c r="T29"/>
      <c r="U29"/>
      <c r="V29"/>
    </row>
    <row r="30" spans="1:22" s="12" customFormat="1" ht="15" customHeight="1">
      <c r="A30"/>
      <c r="B30" s="31" t="s">
        <v>113</v>
      </c>
      <c r="C30" s="32">
        <v>9.25</v>
      </c>
      <c r="D30" s="32">
        <v>8.5</v>
      </c>
      <c r="E30" s="35"/>
      <c r="F30" s="33">
        <v>10</v>
      </c>
      <c r="G30" s="32">
        <v>8</v>
      </c>
      <c r="H30" s="11"/>
      <c r="I30" s="23">
        <f t="shared" si="0"/>
        <v>9.0374999999999996</v>
      </c>
      <c r="J30" s="11"/>
      <c r="K30" s="11"/>
      <c r="L30" s="28"/>
      <c r="N30"/>
      <c r="S30"/>
      <c r="T30"/>
      <c r="U30"/>
      <c r="V30"/>
    </row>
    <row r="31" spans="1:22" s="12" customFormat="1" ht="15" customHeight="1">
      <c r="A31"/>
      <c r="B31" s="31" t="s">
        <v>114</v>
      </c>
      <c r="C31" s="32">
        <v>8.5</v>
      </c>
      <c r="D31" s="32">
        <v>9</v>
      </c>
      <c r="E31" s="35"/>
      <c r="F31" s="33">
        <v>10</v>
      </c>
      <c r="G31" s="32">
        <v>9.5</v>
      </c>
      <c r="H31" s="11"/>
      <c r="I31" s="23">
        <f t="shared" si="0"/>
        <v>9.2750000000000004</v>
      </c>
      <c r="J31" s="11"/>
      <c r="K31" s="11"/>
      <c r="L31" s="28"/>
      <c r="N31"/>
      <c r="S31"/>
      <c r="T31"/>
      <c r="U31"/>
      <c r="V31"/>
    </row>
    <row r="32" spans="1:22" s="12" customFormat="1" ht="15" customHeight="1">
      <c r="A32"/>
      <c r="B32" s="31" t="s">
        <v>115</v>
      </c>
      <c r="C32" s="32">
        <v>9.5</v>
      </c>
      <c r="D32" s="32">
        <v>7</v>
      </c>
      <c r="E32" s="35"/>
      <c r="F32" s="33">
        <v>7</v>
      </c>
      <c r="G32" s="32">
        <v>10</v>
      </c>
      <c r="H32" s="11"/>
      <c r="I32" s="23">
        <f t="shared" si="0"/>
        <v>8.2249999999999996</v>
      </c>
      <c r="J32" s="11"/>
      <c r="K32" s="11"/>
      <c r="L32" s="28"/>
      <c r="N32"/>
      <c r="S32"/>
      <c r="T32"/>
      <c r="U32"/>
      <c r="V32"/>
    </row>
    <row r="33" spans="1:22" s="12" customFormat="1" ht="15" customHeight="1">
      <c r="A33"/>
      <c r="B33" s="31" t="s">
        <v>116</v>
      </c>
      <c r="C33" s="32">
        <v>9.5</v>
      </c>
      <c r="D33" s="32">
        <v>7</v>
      </c>
      <c r="E33" s="35"/>
      <c r="F33" s="33">
        <v>10</v>
      </c>
      <c r="G33" s="32">
        <v>10</v>
      </c>
      <c r="H33" s="11"/>
      <c r="I33" s="23">
        <f t="shared" si="0"/>
        <v>9.125</v>
      </c>
      <c r="J33" s="11"/>
      <c r="K33" s="11"/>
      <c r="L33" s="28"/>
      <c r="N33"/>
      <c r="S33"/>
      <c r="T33"/>
      <c r="U33"/>
      <c r="V33"/>
    </row>
    <row r="34" spans="1:22">
      <c r="A34" s="43" t="s">
        <v>12</v>
      </c>
      <c r="B34" s="44"/>
      <c r="C34" s="44"/>
      <c r="D34" s="44"/>
      <c r="E34" s="44"/>
      <c r="F34" s="44"/>
      <c r="G34" s="44"/>
      <c r="H34" s="44"/>
      <c r="I34" s="44"/>
      <c r="J34" s="44"/>
      <c r="K34" s="44"/>
      <c r="L34" s="45"/>
      <c r="P34" s="12"/>
      <c r="Q34" s="12"/>
      <c r="R34" s="12"/>
    </row>
    <row r="35" spans="1:22" ht="30.6">
      <c r="A35" s="21"/>
      <c r="B35" s="22"/>
      <c r="C35" s="15" t="s">
        <v>14</v>
      </c>
      <c r="D35" s="15" t="s">
        <v>15</v>
      </c>
      <c r="E35" s="15" t="s">
        <v>16</v>
      </c>
      <c r="F35" s="15" t="s">
        <v>2</v>
      </c>
      <c r="G35" s="15" t="s">
        <v>3</v>
      </c>
      <c r="H35" s="15" t="s">
        <v>17</v>
      </c>
      <c r="I35" s="15" t="s">
        <v>18</v>
      </c>
      <c r="J35" s="15" t="s">
        <v>23</v>
      </c>
      <c r="K35" s="15" t="s">
        <v>5</v>
      </c>
      <c r="L35" s="15" t="s">
        <v>20</v>
      </c>
      <c r="P35" s="12"/>
      <c r="Q35" s="12"/>
      <c r="R35" s="12"/>
    </row>
    <row r="36" spans="1:22" ht="20.399999999999999">
      <c r="A36" s="14" t="s">
        <v>21</v>
      </c>
      <c r="B36" s="14" t="s">
        <v>22</v>
      </c>
      <c r="C36" s="20" t="s">
        <v>13</v>
      </c>
      <c r="D36" s="20" t="s">
        <v>13</v>
      </c>
      <c r="E36" s="13">
        <v>0.75</v>
      </c>
      <c r="F36" s="13">
        <v>0.25</v>
      </c>
      <c r="G36" s="20" t="s">
        <v>13</v>
      </c>
      <c r="H36" s="20" t="s">
        <v>13</v>
      </c>
      <c r="I36" s="15" t="s">
        <v>4</v>
      </c>
      <c r="J36" s="13">
        <v>0.7</v>
      </c>
      <c r="K36" s="13">
        <v>0.2</v>
      </c>
      <c r="L36" s="15" t="s">
        <v>6</v>
      </c>
    </row>
    <row r="37" spans="1:22">
      <c r="A37" s="38"/>
      <c r="B37" s="31"/>
      <c r="C37" s="32"/>
      <c r="D37" s="32"/>
      <c r="E37" s="35"/>
      <c r="F37" s="33"/>
      <c r="G37" s="32"/>
      <c r="H37" s="11"/>
      <c r="I37" s="36"/>
      <c r="J37" s="19"/>
      <c r="K37" s="19"/>
      <c r="L37" s="40"/>
    </row>
    <row r="38" spans="1:22">
      <c r="A38" s="18"/>
      <c r="B38" s="10"/>
      <c r="C38" s="20"/>
      <c r="D38" s="20"/>
      <c r="E38" s="19"/>
      <c r="F38" s="19"/>
      <c r="G38" s="20"/>
      <c r="H38" s="20"/>
      <c r="I38" s="26"/>
      <c r="J38" s="19"/>
      <c r="K38" s="19"/>
      <c r="L38" s="26"/>
    </row>
    <row r="39" spans="1:22" ht="21" customHeight="1">
      <c r="A39" s="18"/>
      <c r="B39" s="10"/>
      <c r="C39" s="20"/>
      <c r="D39" s="20"/>
      <c r="E39" s="19"/>
      <c r="F39" s="19"/>
      <c r="G39" s="20"/>
      <c r="H39" s="20"/>
      <c r="I39" s="26"/>
      <c r="J39" s="19"/>
      <c r="K39" s="19"/>
      <c r="L39" s="26"/>
      <c r="N39" s="46" t="s">
        <v>24</v>
      </c>
      <c r="O39" s="46"/>
      <c r="P39" s="46"/>
      <c r="Q39" s="46"/>
      <c r="R39" s="46"/>
      <c r="S39" s="46"/>
    </row>
    <row r="40" spans="1:22">
      <c r="A40" s="18"/>
      <c r="B40" s="10"/>
      <c r="C40" s="20"/>
      <c r="D40" s="20"/>
      <c r="E40" s="19"/>
      <c r="F40" s="19"/>
      <c r="G40" s="20"/>
      <c r="H40" s="20"/>
      <c r="I40" s="26"/>
      <c r="J40" s="19"/>
      <c r="K40" s="19"/>
      <c r="L40" s="26"/>
      <c r="N40" s="46"/>
      <c r="O40" s="46"/>
      <c r="P40" s="46"/>
      <c r="Q40" s="46"/>
      <c r="R40" s="46"/>
      <c r="S40" s="46"/>
    </row>
    <row r="41" spans="1:22">
      <c r="A41" s="18"/>
      <c r="B41" s="10"/>
      <c r="C41" s="20"/>
      <c r="D41" s="20"/>
      <c r="E41" s="19"/>
      <c r="F41" s="19"/>
      <c r="G41" s="20"/>
      <c r="H41" s="20"/>
      <c r="I41" s="26"/>
      <c r="J41" s="19"/>
      <c r="K41" s="19"/>
      <c r="L41" s="26"/>
      <c r="N41" s="46"/>
      <c r="O41" s="46"/>
      <c r="P41" s="46"/>
      <c r="Q41" s="46"/>
      <c r="R41" s="46"/>
      <c r="S41" s="46"/>
    </row>
    <row r="42" spans="1:22">
      <c r="A42" s="18"/>
      <c r="B42" s="10"/>
      <c r="C42" s="20"/>
      <c r="D42" s="20"/>
      <c r="E42" s="19"/>
      <c r="F42" s="19"/>
      <c r="G42" s="20"/>
      <c r="H42" s="20"/>
      <c r="I42" s="26"/>
      <c r="J42" s="19"/>
      <c r="K42" s="19"/>
      <c r="L42" s="26"/>
      <c r="N42" s="46"/>
      <c r="O42" s="46"/>
      <c r="P42" s="46"/>
      <c r="Q42" s="46"/>
      <c r="R42" s="46"/>
      <c r="S42" s="46"/>
    </row>
    <row r="43" spans="1:22">
      <c r="A43" s="18"/>
      <c r="B43" s="10"/>
      <c r="C43" s="20"/>
      <c r="D43" s="20"/>
      <c r="E43" s="19"/>
      <c r="F43" s="19"/>
      <c r="G43" s="20"/>
      <c r="H43" s="20"/>
      <c r="I43" s="26"/>
      <c r="J43" s="19"/>
      <c r="K43" s="19"/>
      <c r="L43" s="26"/>
      <c r="N43" s="46"/>
      <c r="O43" s="46"/>
      <c r="P43" s="46"/>
      <c r="Q43" s="46"/>
      <c r="R43" s="46"/>
      <c r="S43" s="46"/>
    </row>
    <row r="44" spans="1:22">
      <c r="A44" s="18"/>
      <c r="B44" s="10"/>
      <c r="C44" s="20"/>
      <c r="D44" s="20"/>
      <c r="E44" s="19"/>
      <c r="F44" s="19"/>
      <c r="G44" s="20"/>
      <c r="H44" s="20"/>
      <c r="I44" s="26"/>
      <c r="J44" s="19"/>
      <c r="K44" s="19"/>
      <c r="L44" s="26"/>
    </row>
  </sheetData>
  <mergeCells count="4">
    <mergeCell ref="A1:B1"/>
    <mergeCell ref="A2:B2"/>
    <mergeCell ref="A34:L34"/>
    <mergeCell ref="N39:S43"/>
  </mergeCells>
  <pageMargins left="0.78740157480314965" right="0.39370078740157483" top="0.19685039370078741" bottom="0.19685039370078741" header="0.19685039370078741" footer="0.39370078740157483"/>
  <pageSetup paperSize="9" orientation="landscape" r:id="rId1"/>
  <headerFooter>
    <oddHeader>&amp;R&amp;"Calibri"&amp;10&amp;K0000FF Interno&amp;1#_x000D_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BD13-89A9-3F46-A53F-A7FB8D0A037E}">
  <dimension ref="A1:L37"/>
  <sheetViews>
    <sheetView topLeftCell="A19" workbookViewId="0">
      <selection activeCell="L3" sqref="L3:L37"/>
    </sheetView>
  </sheetViews>
  <sheetFormatPr baseColWidth="10" defaultRowHeight="14.4"/>
  <cols>
    <col min="4" max="4" width="11.6640625" bestFit="1" customWidth="1"/>
  </cols>
  <sheetData>
    <row r="1" spans="1:12">
      <c r="A1" s="37">
        <v>6</v>
      </c>
      <c r="B1" s="37">
        <v>6</v>
      </c>
      <c r="C1" s="37">
        <v>5.5</v>
      </c>
      <c r="D1" s="39">
        <f>(A1+B1+C1)/3</f>
        <v>5.833333333333333</v>
      </c>
      <c r="E1" s="37">
        <v>8.5</v>
      </c>
      <c r="F1" s="39">
        <f>(D1+E1)/2</f>
        <v>7.1666666666666661</v>
      </c>
    </row>
    <row r="2" spans="1:12">
      <c r="A2" s="37">
        <v>7</v>
      </c>
      <c r="B2" s="37">
        <v>8</v>
      </c>
      <c r="C2" s="37">
        <v>5.5</v>
      </c>
      <c r="D2" s="39">
        <f t="shared" ref="D2:D35" si="0">(A2+B2+C2)/3</f>
        <v>6.833333333333333</v>
      </c>
      <c r="E2" s="37">
        <v>7.5</v>
      </c>
      <c r="F2" s="39">
        <f t="shared" ref="F2:F35" si="1">(D2+E2)/2</f>
        <v>7.1666666666666661</v>
      </c>
    </row>
    <row r="3" spans="1:12">
      <c r="A3" s="37">
        <v>6.5</v>
      </c>
      <c r="B3" s="37">
        <v>10</v>
      </c>
      <c r="C3" s="37">
        <v>7.5</v>
      </c>
      <c r="D3" s="39">
        <f t="shared" si="0"/>
        <v>8</v>
      </c>
      <c r="E3" s="37">
        <v>10</v>
      </c>
      <c r="F3" s="39">
        <f t="shared" si="1"/>
        <v>9</v>
      </c>
      <c r="J3" s="37">
        <v>10</v>
      </c>
      <c r="K3" s="37">
        <v>0</v>
      </c>
      <c r="L3">
        <f>(J3+K3)/2</f>
        <v>5</v>
      </c>
    </row>
    <row r="4" spans="1:12">
      <c r="A4" s="37">
        <v>10</v>
      </c>
      <c r="B4" s="37">
        <v>9</v>
      </c>
      <c r="C4" s="37">
        <v>6.5</v>
      </c>
      <c r="D4" s="39">
        <f t="shared" si="0"/>
        <v>8.5</v>
      </c>
      <c r="E4" s="37">
        <v>8.5</v>
      </c>
      <c r="F4" s="39">
        <f t="shared" si="1"/>
        <v>8.5</v>
      </c>
      <c r="J4" s="37">
        <v>7.5</v>
      </c>
      <c r="K4" s="37">
        <v>10</v>
      </c>
      <c r="L4">
        <f t="shared" ref="L4:L37" si="2">(J4+K4)/2</f>
        <v>8.75</v>
      </c>
    </row>
    <row r="5" spans="1:12">
      <c r="A5" s="37">
        <v>10</v>
      </c>
      <c r="B5" s="37">
        <v>9</v>
      </c>
      <c r="C5" s="37">
        <v>6.5</v>
      </c>
      <c r="D5" s="39">
        <f t="shared" si="0"/>
        <v>8.5</v>
      </c>
      <c r="E5" s="37">
        <v>8.5</v>
      </c>
      <c r="F5" s="39">
        <f t="shared" si="1"/>
        <v>8.5</v>
      </c>
      <c r="J5" s="37">
        <v>8</v>
      </c>
      <c r="K5" s="37">
        <v>10</v>
      </c>
      <c r="L5">
        <f t="shared" si="2"/>
        <v>9</v>
      </c>
    </row>
    <row r="6" spans="1:12">
      <c r="A6" s="37">
        <v>6</v>
      </c>
      <c r="B6" s="37">
        <v>6</v>
      </c>
      <c r="C6" s="37">
        <v>5.5</v>
      </c>
      <c r="D6" s="39">
        <f t="shared" si="0"/>
        <v>5.833333333333333</v>
      </c>
      <c r="E6" s="37">
        <v>8.5</v>
      </c>
      <c r="F6" s="39">
        <f t="shared" si="1"/>
        <v>7.1666666666666661</v>
      </c>
      <c r="J6" s="37">
        <v>10</v>
      </c>
      <c r="K6" s="37">
        <v>10</v>
      </c>
      <c r="L6">
        <f t="shared" si="2"/>
        <v>10</v>
      </c>
    </row>
    <row r="7" spans="1:12">
      <c r="A7" s="37">
        <v>6.5</v>
      </c>
      <c r="B7" s="37">
        <v>10</v>
      </c>
      <c r="C7" s="37">
        <v>7.5</v>
      </c>
      <c r="D7" s="39">
        <f t="shared" si="0"/>
        <v>8</v>
      </c>
      <c r="E7" s="37">
        <v>10</v>
      </c>
      <c r="F7" s="39">
        <f t="shared" si="1"/>
        <v>9</v>
      </c>
      <c r="J7" s="37">
        <v>8</v>
      </c>
      <c r="K7" s="37">
        <v>8</v>
      </c>
      <c r="L7">
        <f t="shared" si="2"/>
        <v>8</v>
      </c>
    </row>
    <row r="8" spans="1:12">
      <c r="A8" s="37">
        <v>7</v>
      </c>
      <c r="B8" s="37">
        <v>9</v>
      </c>
      <c r="C8" s="37">
        <v>6</v>
      </c>
      <c r="D8" s="39">
        <f t="shared" si="0"/>
        <v>7.333333333333333</v>
      </c>
      <c r="E8" s="37">
        <v>8</v>
      </c>
      <c r="F8" s="39">
        <f t="shared" si="1"/>
        <v>7.6666666666666661</v>
      </c>
      <c r="J8" s="37">
        <v>10</v>
      </c>
      <c r="K8" s="37">
        <v>0</v>
      </c>
      <c r="L8">
        <f t="shared" si="2"/>
        <v>5</v>
      </c>
    </row>
    <row r="9" spans="1:12">
      <c r="A9" s="37">
        <v>9</v>
      </c>
      <c r="B9" s="37">
        <v>9</v>
      </c>
      <c r="C9" s="37">
        <v>9</v>
      </c>
      <c r="D9" s="39">
        <f t="shared" si="0"/>
        <v>9</v>
      </c>
      <c r="E9" s="37">
        <v>9</v>
      </c>
      <c r="F9" s="39">
        <f t="shared" si="1"/>
        <v>9</v>
      </c>
      <c r="J9" s="37">
        <v>7.5</v>
      </c>
      <c r="K9" s="37">
        <v>10</v>
      </c>
      <c r="L9">
        <f t="shared" si="2"/>
        <v>8.75</v>
      </c>
    </row>
    <row r="10" spans="1:12">
      <c r="A10" s="37">
        <v>9</v>
      </c>
      <c r="B10" s="37">
        <v>9</v>
      </c>
      <c r="C10" s="37">
        <v>9</v>
      </c>
      <c r="D10" s="39">
        <f t="shared" si="0"/>
        <v>9</v>
      </c>
      <c r="E10" s="37">
        <v>9</v>
      </c>
      <c r="F10" s="39">
        <f t="shared" si="1"/>
        <v>9</v>
      </c>
      <c r="J10" s="37">
        <v>7.5</v>
      </c>
      <c r="K10" s="37">
        <v>7</v>
      </c>
      <c r="L10">
        <f t="shared" si="2"/>
        <v>7.25</v>
      </c>
    </row>
    <row r="11" spans="1:12">
      <c r="A11" s="37">
        <v>7</v>
      </c>
      <c r="B11" s="37">
        <v>9</v>
      </c>
      <c r="C11" s="37">
        <v>6</v>
      </c>
      <c r="D11" s="39">
        <f t="shared" si="0"/>
        <v>7.333333333333333</v>
      </c>
      <c r="E11" s="37">
        <v>8</v>
      </c>
      <c r="F11" s="39">
        <f t="shared" si="1"/>
        <v>7.6666666666666661</v>
      </c>
      <c r="J11" s="37">
        <v>10</v>
      </c>
      <c r="K11" s="37">
        <v>10</v>
      </c>
      <c r="L11">
        <f t="shared" si="2"/>
        <v>10</v>
      </c>
    </row>
    <row r="12" spans="1:12">
      <c r="A12" s="37">
        <v>7</v>
      </c>
      <c r="B12" s="37">
        <v>8</v>
      </c>
      <c r="C12" s="37">
        <v>5.5</v>
      </c>
      <c r="D12" s="39">
        <f t="shared" si="0"/>
        <v>6.833333333333333</v>
      </c>
      <c r="E12" s="37">
        <v>7.5</v>
      </c>
      <c r="F12" s="39">
        <f t="shared" si="1"/>
        <v>7.1666666666666661</v>
      </c>
      <c r="J12" s="37">
        <v>8</v>
      </c>
      <c r="K12" s="37">
        <v>7</v>
      </c>
      <c r="L12">
        <f t="shared" si="2"/>
        <v>7.5</v>
      </c>
    </row>
    <row r="13" spans="1:12">
      <c r="A13" s="37">
        <v>6</v>
      </c>
      <c r="B13" s="37">
        <v>6</v>
      </c>
      <c r="C13" s="37">
        <v>5.5</v>
      </c>
      <c r="D13" s="39">
        <f t="shared" si="0"/>
        <v>5.833333333333333</v>
      </c>
      <c r="E13" s="37">
        <v>8.5</v>
      </c>
      <c r="F13" s="39">
        <f t="shared" si="1"/>
        <v>7.1666666666666661</v>
      </c>
      <c r="J13" s="37">
        <v>9</v>
      </c>
      <c r="K13" s="37">
        <v>10</v>
      </c>
      <c r="L13">
        <f t="shared" si="2"/>
        <v>9.5</v>
      </c>
    </row>
    <row r="14" spans="1:12">
      <c r="A14" s="37">
        <v>9</v>
      </c>
      <c r="B14" s="37">
        <v>9</v>
      </c>
      <c r="C14" s="37">
        <v>9</v>
      </c>
      <c r="D14" s="39">
        <f t="shared" si="0"/>
        <v>9</v>
      </c>
      <c r="E14" s="37">
        <v>9</v>
      </c>
      <c r="F14" s="39">
        <f t="shared" si="1"/>
        <v>9</v>
      </c>
      <c r="J14" s="37">
        <v>8</v>
      </c>
      <c r="K14" s="37">
        <v>6</v>
      </c>
      <c r="L14">
        <f t="shared" si="2"/>
        <v>7</v>
      </c>
    </row>
    <row r="15" spans="1:12">
      <c r="A15" s="37">
        <v>6.5</v>
      </c>
      <c r="B15" s="37">
        <v>10</v>
      </c>
      <c r="C15" s="37">
        <v>7.5</v>
      </c>
      <c r="D15" s="39">
        <f t="shared" si="0"/>
        <v>8</v>
      </c>
      <c r="E15" s="37">
        <v>10</v>
      </c>
      <c r="F15" s="39">
        <f t="shared" si="1"/>
        <v>9</v>
      </c>
      <c r="J15" s="37">
        <v>0</v>
      </c>
      <c r="K15" s="37">
        <v>0</v>
      </c>
      <c r="L15">
        <f t="shared" si="2"/>
        <v>0</v>
      </c>
    </row>
    <row r="16" spans="1:12">
      <c r="A16" s="37">
        <v>9</v>
      </c>
      <c r="B16" s="37">
        <v>8</v>
      </c>
      <c r="C16" s="37">
        <v>8.5</v>
      </c>
      <c r="D16" s="39">
        <f t="shared" si="0"/>
        <v>8.5</v>
      </c>
      <c r="E16" s="37">
        <v>8.5</v>
      </c>
      <c r="F16" s="39">
        <f t="shared" si="1"/>
        <v>8.5</v>
      </c>
      <c r="J16" s="37">
        <v>8</v>
      </c>
      <c r="K16" s="37">
        <v>0</v>
      </c>
      <c r="L16">
        <f t="shared" si="2"/>
        <v>4</v>
      </c>
    </row>
    <row r="17" spans="1:12">
      <c r="A17" s="37">
        <v>6.5</v>
      </c>
      <c r="B17" s="37">
        <v>10</v>
      </c>
      <c r="C17" s="37">
        <v>7.5</v>
      </c>
      <c r="D17" s="39">
        <f t="shared" si="0"/>
        <v>8</v>
      </c>
      <c r="E17" s="37">
        <v>10</v>
      </c>
      <c r="F17" s="39">
        <f t="shared" si="1"/>
        <v>9</v>
      </c>
      <c r="J17" s="37">
        <v>8</v>
      </c>
      <c r="K17" s="37">
        <v>10</v>
      </c>
      <c r="L17">
        <f t="shared" si="2"/>
        <v>9</v>
      </c>
    </row>
    <row r="18" spans="1:12">
      <c r="A18" s="37">
        <v>10</v>
      </c>
      <c r="B18" s="37">
        <v>10</v>
      </c>
      <c r="C18" s="37">
        <v>5</v>
      </c>
      <c r="D18" s="39">
        <f t="shared" si="0"/>
        <v>8.3333333333333339</v>
      </c>
      <c r="E18" s="37">
        <v>10</v>
      </c>
      <c r="F18" s="39">
        <f t="shared" si="1"/>
        <v>9.1666666666666679</v>
      </c>
      <c r="J18" s="37">
        <v>8</v>
      </c>
      <c r="K18" s="37">
        <v>10</v>
      </c>
      <c r="L18">
        <f t="shared" si="2"/>
        <v>9</v>
      </c>
    </row>
    <row r="19" spans="1:12">
      <c r="A19" s="37">
        <v>6</v>
      </c>
      <c r="B19" s="37">
        <v>6</v>
      </c>
      <c r="C19" s="37">
        <v>5.5</v>
      </c>
      <c r="D19" s="39">
        <f t="shared" si="0"/>
        <v>5.833333333333333</v>
      </c>
      <c r="E19" s="37">
        <v>8.5</v>
      </c>
      <c r="F19" s="39">
        <f t="shared" si="1"/>
        <v>7.1666666666666661</v>
      </c>
      <c r="J19" s="37">
        <v>8</v>
      </c>
      <c r="K19" s="37">
        <v>0</v>
      </c>
      <c r="L19">
        <f t="shared" si="2"/>
        <v>4</v>
      </c>
    </row>
    <row r="20" spans="1:12">
      <c r="A20" s="37">
        <v>7</v>
      </c>
      <c r="B20" s="37">
        <v>8</v>
      </c>
      <c r="C20" s="37">
        <v>5.5</v>
      </c>
      <c r="D20" s="39">
        <f t="shared" si="0"/>
        <v>6.833333333333333</v>
      </c>
      <c r="E20" s="37">
        <v>7.5</v>
      </c>
      <c r="F20" s="39">
        <f t="shared" si="1"/>
        <v>7.1666666666666661</v>
      </c>
      <c r="J20" s="37">
        <v>7.5</v>
      </c>
      <c r="K20" s="37">
        <v>10</v>
      </c>
      <c r="L20">
        <f t="shared" si="2"/>
        <v>8.75</v>
      </c>
    </row>
    <row r="21" spans="1:12">
      <c r="A21" s="37">
        <v>10</v>
      </c>
      <c r="B21" s="37">
        <v>10</v>
      </c>
      <c r="C21" s="37">
        <v>6.5</v>
      </c>
      <c r="D21" s="39">
        <f t="shared" si="0"/>
        <v>8.8333333333333339</v>
      </c>
      <c r="E21" s="37">
        <v>9.5</v>
      </c>
      <c r="F21" s="39">
        <f t="shared" si="1"/>
        <v>9.1666666666666679</v>
      </c>
      <c r="J21" s="37">
        <v>0</v>
      </c>
      <c r="K21" s="37">
        <v>0</v>
      </c>
      <c r="L21">
        <f t="shared" si="2"/>
        <v>0</v>
      </c>
    </row>
    <row r="22" spans="1:12">
      <c r="A22" s="37">
        <v>10</v>
      </c>
      <c r="B22" s="37">
        <v>9</v>
      </c>
      <c r="C22" s="37">
        <v>6.5</v>
      </c>
      <c r="D22" s="39">
        <f t="shared" si="0"/>
        <v>8.5</v>
      </c>
      <c r="E22" s="37">
        <v>8.5</v>
      </c>
      <c r="F22" s="39">
        <f t="shared" si="1"/>
        <v>8.5</v>
      </c>
      <c r="J22" s="37">
        <v>8</v>
      </c>
      <c r="K22" s="37">
        <v>10</v>
      </c>
      <c r="L22">
        <f t="shared" si="2"/>
        <v>9</v>
      </c>
    </row>
    <row r="23" spans="1:12">
      <c r="A23" s="37">
        <v>7</v>
      </c>
      <c r="B23" s="37">
        <v>8</v>
      </c>
      <c r="C23" s="37">
        <v>5.5</v>
      </c>
      <c r="D23" s="39">
        <f t="shared" si="0"/>
        <v>6.833333333333333</v>
      </c>
      <c r="E23" s="37">
        <v>7.5</v>
      </c>
      <c r="F23" s="39">
        <f t="shared" si="1"/>
        <v>7.1666666666666661</v>
      </c>
      <c r="J23" s="37">
        <v>8</v>
      </c>
      <c r="K23" s="37">
        <v>10</v>
      </c>
      <c r="L23">
        <f t="shared" si="2"/>
        <v>9</v>
      </c>
    </row>
    <row r="24" spans="1:12">
      <c r="A24" s="37">
        <v>10</v>
      </c>
      <c r="B24" s="37">
        <v>9</v>
      </c>
      <c r="C24" s="37">
        <v>6.5</v>
      </c>
      <c r="D24" s="39">
        <f t="shared" si="0"/>
        <v>8.5</v>
      </c>
      <c r="E24" s="37">
        <v>8.5</v>
      </c>
      <c r="F24" s="39">
        <f t="shared" si="1"/>
        <v>8.5</v>
      </c>
      <c r="J24" s="37">
        <v>8</v>
      </c>
      <c r="K24" s="37">
        <v>10</v>
      </c>
      <c r="L24">
        <f t="shared" si="2"/>
        <v>9</v>
      </c>
    </row>
    <row r="25" spans="1:12">
      <c r="A25" s="37">
        <v>9</v>
      </c>
      <c r="B25" s="37">
        <v>8</v>
      </c>
      <c r="C25" s="37">
        <v>8.5</v>
      </c>
      <c r="D25" s="39">
        <f>(A25+B25+C25)/3</f>
        <v>8.5</v>
      </c>
      <c r="E25" s="37">
        <v>8.5</v>
      </c>
      <c r="F25" s="39">
        <f t="shared" si="1"/>
        <v>8.5</v>
      </c>
      <c r="J25" s="37">
        <v>8</v>
      </c>
      <c r="K25" s="37">
        <v>10</v>
      </c>
      <c r="L25">
        <f t="shared" si="2"/>
        <v>9</v>
      </c>
    </row>
    <row r="26" spans="1:12">
      <c r="A26" s="37">
        <v>10</v>
      </c>
      <c r="B26" s="37">
        <v>10</v>
      </c>
      <c r="C26" s="37">
        <v>6.5</v>
      </c>
      <c r="D26" s="39">
        <f t="shared" si="0"/>
        <v>8.8333333333333339</v>
      </c>
      <c r="E26" s="37">
        <v>9.5</v>
      </c>
      <c r="F26" s="39">
        <f t="shared" si="1"/>
        <v>9.1666666666666679</v>
      </c>
      <c r="J26" s="37">
        <v>8</v>
      </c>
      <c r="K26" s="37">
        <v>7.5</v>
      </c>
      <c r="L26">
        <f t="shared" si="2"/>
        <v>7.75</v>
      </c>
    </row>
    <row r="27" spans="1:12">
      <c r="A27" s="37">
        <v>10</v>
      </c>
      <c r="B27" s="37">
        <v>10</v>
      </c>
      <c r="C27" s="37">
        <v>5</v>
      </c>
      <c r="D27" s="39">
        <f t="shared" si="0"/>
        <v>8.3333333333333339</v>
      </c>
      <c r="E27" s="37">
        <v>10</v>
      </c>
      <c r="F27" s="39">
        <f t="shared" si="1"/>
        <v>9.1666666666666679</v>
      </c>
      <c r="J27" s="37">
        <v>9</v>
      </c>
      <c r="K27" s="37">
        <v>10</v>
      </c>
      <c r="L27">
        <f t="shared" si="2"/>
        <v>9.5</v>
      </c>
    </row>
    <row r="28" spans="1:12">
      <c r="A28" s="37">
        <v>9</v>
      </c>
      <c r="B28" s="37">
        <v>8</v>
      </c>
      <c r="C28" s="37">
        <v>8.5</v>
      </c>
      <c r="D28" s="39">
        <f t="shared" si="0"/>
        <v>8.5</v>
      </c>
      <c r="E28" s="37">
        <v>8.5</v>
      </c>
      <c r="F28" s="39">
        <f t="shared" si="1"/>
        <v>8.5</v>
      </c>
      <c r="J28" s="37">
        <v>10</v>
      </c>
      <c r="K28" s="37">
        <v>0</v>
      </c>
      <c r="L28">
        <f t="shared" si="2"/>
        <v>5</v>
      </c>
    </row>
    <row r="29" spans="1:12">
      <c r="A29" s="37">
        <v>10</v>
      </c>
      <c r="B29" s="37">
        <v>10</v>
      </c>
      <c r="C29" s="37">
        <v>6.5</v>
      </c>
      <c r="D29" s="39">
        <f t="shared" si="0"/>
        <v>8.8333333333333339</v>
      </c>
      <c r="E29" s="37">
        <v>9.5</v>
      </c>
      <c r="F29" s="39">
        <f>(D29+E29)/2</f>
        <v>9.1666666666666679</v>
      </c>
      <c r="J29" s="37">
        <v>9</v>
      </c>
      <c r="K29" s="37">
        <v>9</v>
      </c>
      <c r="L29">
        <f t="shared" si="2"/>
        <v>9</v>
      </c>
    </row>
    <row r="30" spans="1:12">
      <c r="A30" s="37">
        <v>7</v>
      </c>
      <c r="B30" s="37">
        <v>9</v>
      </c>
      <c r="C30" s="37">
        <v>6</v>
      </c>
      <c r="D30" s="39">
        <f t="shared" si="0"/>
        <v>7.333333333333333</v>
      </c>
      <c r="E30" s="37">
        <v>8</v>
      </c>
      <c r="F30" s="39">
        <f t="shared" si="1"/>
        <v>7.6666666666666661</v>
      </c>
      <c r="J30" s="37">
        <v>8</v>
      </c>
      <c r="K30" s="37">
        <v>10</v>
      </c>
      <c r="L30">
        <f t="shared" si="2"/>
        <v>9</v>
      </c>
    </row>
    <row r="31" spans="1:12">
      <c r="A31" s="37">
        <v>9</v>
      </c>
      <c r="B31" s="37">
        <v>9</v>
      </c>
      <c r="C31" s="37">
        <v>9</v>
      </c>
      <c r="D31" s="39">
        <f t="shared" si="0"/>
        <v>9</v>
      </c>
      <c r="E31" s="37">
        <v>9</v>
      </c>
      <c r="F31" s="39">
        <f t="shared" si="1"/>
        <v>9</v>
      </c>
      <c r="J31" s="37">
        <v>8</v>
      </c>
      <c r="K31" s="37">
        <v>0</v>
      </c>
      <c r="L31">
        <f t="shared" si="2"/>
        <v>4</v>
      </c>
    </row>
    <row r="32" spans="1:12">
      <c r="A32" s="37">
        <v>10</v>
      </c>
      <c r="B32" s="37">
        <v>10</v>
      </c>
      <c r="C32" s="37">
        <v>5</v>
      </c>
      <c r="D32" s="39">
        <f t="shared" si="0"/>
        <v>8.3333333333333339</v>
      </c>
      <c r="E32" s="37">
        <v>10</v>
      </c>
      <c r="F32" s="39">
        <f t="shared" si="1"/>
        <v>9.1666666666666679</v>
      </c>
      <c r="J32" s="37">
        <v>10</v>
      </c>
      <c r="K32" s="37">
        <v>10</v>
      </c>
      <c r="L32">
        <f t="shared" si="2"/>
        <v>10</v>
      </c>
    </row>
    <row r="33" spans="1:12">
      <c r="A33" s="37">
        <v>7.5</v>
      </c>
      <c r="B33" s="37">
        <v>0</v>
      </c>
      <c r="C33" s="37">
        <v>5</v>
      </c>
      <c r="D33" s="39">
        <f t="shared" si="0"/>
        <v>4.166666666666667</v>
      </c>
      <c r="E33" s="37">
        <v>6</v>
      </c>
      <c r="F33" s="39">
        <f t="shared" si="1"/>
        <v>5.0833333333333339</v>
      </c>
      <c r="J33" s="37">
        <v>8</v>
      </c>
      <c r="K33" s="37">
        <v>0</v>
      </c>
      <c r="L33">
        <f t="shared" si="2"/>
        <v>4</v>
      </c>
    </row>
    <row r="34" spans="1:12">
      <c r="A34" s="37">
        <v>7.5</v>
      </c>
      <c r="B34" s="37">
        <v>0</v>
      </c>
      <c r="C34" s="37">
        <v>5</v>
      </c>
      <c r="D34" s="39">
        <f t="shared" si="0"/>
        <v>4.166666666666667</v>
      </c>
      <c r="E34" s="37">
        <v>6</v>
      </c>
      <c r="F34" s="39">
        <f t="shared" si="1"/>
        <v>5.0833333333333339</v>
      </c>
      <c r="J34" s="37">
        <v>8</v>
      </c>
      <c r="K34" s="37">
        <v>10</v>
      </c>
      <c r="L34">
        <f t="shared" si="2"/>
        <v>9</v>
      </c>
    </row>
    <row r="35" spans="1:12">
      <c r="A35" s="37">
        <v>10</v>
      </c>
      <c r="B35" s="37">
        <v>10</v>
      </c>
      <c r="C35" s="37">
        <v>5</v>
      </c>
      <c r="D35" s="39">
        <f t="shared" si="0"/>
        <v>8.3333333333333339</v>
      </c>
      <c r="E35" s="37">
        <v>10</v>
      </c>
      <c r="F35" s="39">
        <f t="shared" si="1"/>
        <v>9.1666666666666679</v>
      </c>
      <c r="J35" s="37">
        <v>0</v>
      </c>
      <c r="K35" s="37">
        <v>7</v>
      </c>
      <c r="L35">
        <f t="shared" si="2"/>
        <v>3.5</v>
      </c>
    </row>
    <row r="36" spans="1:12">
      <c r="J36" s="37">
        <v>0</v>
      </c>
      <c r="K36" s="37">
        <v>7</v>
      </c>
      <c r="L36">
        <f t="shared" si="2"/>
        <v>3.5</v>
      </c>
    </row>
    <row r="37" spans="1:12">
      <c r="J37" s="37">
        <v>9</v>
      </c>
      <c r="K37" s="37">
        <v>10</v>
      </c>
      <c r="L37">
        <f t="shared" si="2"/>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DC67-ED07-4BF0-B466-FC729A75B9AF}">
  <dimension ref="A1:V47"/>
  <sheetViews>
    <sheetView workbookViewId="0">
      <selection activeCell="C4" sqref="C4:L4"/>
    </sheetView>
  </sheetViews>
  <sheetFormatPr baseColWidth="10" defaultColWidth="11.44140625" defaultRowHeight="14.4"/>
  <cols>
    <col min="1" max="1" width="20.6640625" style="2" customWidth="1"/>
    <col min="2" max="2" width="15.6640625" style="1" customWidth="1"/>
    <col min="3" max="3" width="20.109375" style="3" bestFit="1" customWidth="1"/>
    <col min="4" max="4" width="8.44140625" style="3" customWidth="1"/>
    <col min="5" max="5" width="8.6640625" style="3" customWidth="1"/>
    <col min="6" max="6" width="9" style="3" customWidth="1"/>
    <col min="7" max="7" width="8.77734375" style="3" customWidth="1"/>
    <col min="8" max="8" width="7.109375" style="3" customWidth="1"/>
    <col min="9" max="9" width="9" style="3" customWidth="1"/>
    <col min="10" max="10" width="8.44140625" style="3" customWidth="1"/>
    <col min="11" max="11" width="8.109375" style="3" customWidth="1"/>
    <col min="12" max="12" width="8.77734375" style="3" customWidth="1"/>
    <col min="16" max="16" width="26.44140625" customWidth="1"/>
    <col min="18" max="18" width="26.44140625" customWidth="1"/>
  </cols>
  <sheetData>
    <row r="1" spans="1:22">
      <c r="A1" s="42" t="s">
        <v>0</v>
      </c>
      <c r="B1" s="42"/>
      <c r="C1" s="3" t="s">
        <v>41</v>
      </c>
    </row>
    <row r="2" spans="1:22" s="5" customFormat="1" ht="12">
      <c r="A2" s="42" t="s">
        <v>1</v>
      </c>
      <c r="B2" s="42"/>
      <c r="C2" s="4" t="s">
        <v>42</v>
      </c>
      <c r="D2" s="4"/>
      <c r="E2" s="4"/>
      <c r="F2" s="4"/>
      <c r="G2" s="4"/>
      <c r="H2" s="4"/>
      <c r="I2" s="4"/>
      <c r="J2" s="4"/>
      <c r="K2" s="4"/>
      <c r="L2" s="4"/>
    </row>
    <row r="3" spans="1:22" s="16" customFormat="1" ht="37.5" customHeight="1">
      <c r="A3" s="14" t="s">
        <v>21</v>
      </c>
      <c r="B3" s="14" t="s">
        <v>22</v>
      </c>
      <c r="C3" s="15" t="s">
        <v>14</v>
      </c>
      <c r="D3" s="15" t="s">
        <v>15</v>
      </c>
      <c r="E3" s="15" t="s">
        <v>16</v>
      </c>
      <c r="F3" s="15" t="s">
        <v>2</v>
      </c>
      <c r="G3" s="15" t="s">
        <v>3</v>
      </c>
      <c r="H3" s="15" t="s">
        <v>17</v>
      </c>
      <c r="I3" s="15" t="s">
        <v>25</v>
      </c>
      <c r="J3" s="15" t="s">
        <v>19</v>
      </c>
      <c r="K3" s="15" t="s">
        <v>5</v>
      </c>
      <c r="L3" s="15" t="s">
        <v>20</v>
      </c>
    </row>
    <row r="4" spans="1:22" s="4" customFormat="1" ht="11.55" customHeight="1" thickBot="1">
      <c r="A4" s="6"/>
      <c r="B4" s="6"/>
      <c r="C4" s="13">
        <v>0.15</v>
      </c>
      <c r="D4" s="13">
        <v>0.15</v>
      </c>
      <c r="E4" s="13">
        <v>0.3</v>
      </c>
      <c r="F4" s="13">
        <v>0.5</v>
      </c>
      <c r="G4" s="13">
        <v>0.2</v>
      </c>
      <c r="H4" s="7"/>
      <c r="I4" s="7"/>
      <c r="J4" s="13">
        <v>0.3</v>
      </c>
      <c r="K4" s="13">
        <v>0</v>
      </c>
      <c r="L4" s="7"/>
    </row>
    <row r="5" spans="1:22" s="4" customFormat="1" ht="15" customHeight="1">
      <c r="A5" t="s">
        <v>43</v>
      </c>
      <c r="B5" t="s">
        <v>44</v>
      </c>
      <c r="C5">
        <v>6.75</v>
      </c>
      <c r="D5">
        <v>6.25</v>
      </c>
      <c r="E5" s="9"/>
      <c r="F5">
        <v>8</v>
      </c>
      <c r="G5">
        <v>5.125</v>
      </c>
      <c r="H5" s="8"/>
      <c r="I5" s="23"/>
      <c r="J5" s="23"/>
      <c r="K5" s="9"/>
      <c r="L5" s="27"/>
      <c r="P5" s="55" t="s">
        <v>7</v>
      </c>
      <c r="Q5" s="56"/>
      <c r="R5" s="56"/>
      <c r="S5" s="56"/>
      <c r="T5" s="56"/>
      <c r="U5" s="56"/>
      <c r="V5" s="57"/>
    </row>
    <row r="6" spans="1:22" s="12" customFormat="1" ht="15" customHeight="1">
      <c r="A6" t="s">
        <v>45</v>
      </c>
      <c r="B6" t="s">
        <v>46</v>
      </c>
      <c r="C6">
        <v>3.5</v>
      </c>
      <c r="D6"/>
      <c r="E6" s="11">
        <v>7.5</v>
      </c>
      <c r="F6">
        <v>8</v>
      </c>
      <c r="G6">
        <v>7.5</v>
      </c>
      <c r="H6" s="11"/>
      <c r="I6" s="23"/>
      <c r="J6" s="23"/>
      <c r="K6" s="11"/>
      <c r="L6" s="28"/>
      <c r="P6" s="52" t="s">
        <v>8</v>
      </c>
      <c r="Q6" s="53"/>
      <c r="R6" s="53"/>
      <c r="S6" s="53"/>
      <c r="T6" s="53"/>
      <c r="U6" s="53"/>
      <c r="V6" s="54"/>
    </row>
    <row r="7" spans="1:22" s="12" customFormat="1" ht="15" customHeight="1">
      <c r="A7" t="s">
        <v>80</v>
      </c>
      <c r="B7" t="s">
        <v>47</v>
      </c>
      <c r="C7">
        <v>8</v>
      </c>
      <c r="D7">
        <v>9.25</v>
      </c>
      <c r="E7" s="11"/>
      <c r="F7">
        <v>10</v>
      </c>
      <c r="G7">
        <v>7.125</v>
      </c>
      <c r="H7" s="11"/>
      <c r="I7" s="24"/>
      <c r="J7" s="24"/>
      <c r="K7" s="11"/>
      <c r="L7" s="28"/>
      <c r="P7" s="52" t="s">
        <v>9</v>
      </c>
      <c r="Q7" s="53"/>
      <c r="R7" s="53"/>
      <c r="S7" s="53"/>
      <c r="T7" s="53"/>
      <c r="U7" s="53"/>
      <c r="V7" s="54"/>
    </row>
    <row r="8" spans="1:22" s="1" customFormat="1" ht="15" customHeight="1" thickBot="1">
      <c r="A8" t="s">
        <v>48</v>
      </c>
      <c r="B8" t="s">
        <v>49</v>
      </c>
      <c r="C8">
        <v>6.5</v>
      </c>
      <c r="D8">
        <v>7.75</v>
      </c>
      <c r="E8" s="17"/>
      <c r="F8">
        <v>7</v>
      </c>
      <c r="G8">
        <v>6.875</v>
      </c>
      <c r="H8" s="17"/>
      <c r="I8" s="25"/>
      <c r="J8" s="25"/>
      <c r="K8" s="17"/>
      <c r="L8" s="25"/>
      <c r="P8" s="49" t="s">
        <v>10</v>
      </c>
      <c r="Q8" s="50"/>
      <c r="R8" s="50"/>
      <c r="S8" s="50"/>
      <c r="T8" s="50"/>
      <c r="U8" s="50"/>
      <c r="V8" s="51"/>
    </row>
    <row r="9" spans="1:22" s="1" customFormat="1" ht="16.05" customHeight="1">
      <c r="A9" t="s">
        <v>50</v>
      </c>
      <c r="B9" t="s">
        <v>90</v>
      </c>
      <c r="C9"/>
      <c r="D9"/>
      <c r="E9" s="17"/>
      <c r="F9">
        <v>7</v>
      </c>
      <c r="G9">
        <v>7.625</v>
      </c>
      <c r="H9" s="17"/>
      <c r="I9" s="25"/>
      <c r="J9" s="25"/>
      <c r="K9" s="17"/>
      <c r="L9" s="25"/>
      <c r="P9" s="47" t="s">
        <v>11</v>
      </c>
      <c r="Q9" s="48"/>
      <c r="R9" s="48"/>
      <c r="S9" s="48"/>
      <c r="T9" s="48"/>
      <c r="U9" s="48"/>
      <c r="V9" s="48"/>
    </row>
    <row r="10" spans="1:22" s="1" customFormat="1" ht="15" customHeight="1">
      <c r="A10" t="s">
        <v>51</v>
      </c>
      <c r="B10" t="s">
        <v>52</v>
      </c>
      <c r="C10">
        <v>5</v>
      </c>
      <c r="D10">
        <v>5</v>
      </c>
      <c r="E10" s="17"/>
      <c r="F10">
        <v>10</v>
      </c>
      <c r="G10">
        <v>7.125</v>
      </c>
      <c r="H10" s="17"/>
      <c r="I10" s="25"/>
      <c r="J10" s="25"/>
      <c r="K10" s="17"/>
      <c r="L10" s="25"/>
    </row>
    <row r="11" spans="1:22" s="1" customFormat="1" ht="15" customHeight="1">
      <c r="A11" t="s">
        <v>91</v>
      </c>
      <c r="B11" t="s">
        <v>53</v>
      </c>
      <c r="C11">
        <v>10</v>
      </c>
      <c r="D11">
        <v>6.5</v>
      </c>
      <c r="E11" s="19"/>
      <c r="F11">
        <v>10</v>
      </c>
      <c r="G11">
        <v>7.125</v>
      </c>
      <c r="H11" s="19"/>
      <c r="I11" s="26"/>
      <c r="J11" s="26"/>
      <c r="K11" s="19"/>
      <c r="L11" s="26"/>
      <c r="O11"/>
      <c r="P11"/>
      <c r="Q11"/>
      <c r="R11"/>
      <c r="S11"/>
    </row>
    <row r="12" spans="1:22" ht="15" customHeight="1">
      <c r="A12" t="s">
        <v>54</v>
      </c>
      <c r="B12" t="s">
        <v>55</v>
      </c>
      <c r="C12">
        <v>7</v>
      </c>
      <c r="D12">
        <v>5.5</v>
      </c>
      <c r="E12" s="19"/>
      <c r="F12">
        <v>9</v>
      </c>
      <c r="G12">
        <v>7.875</v>
      </c>
      <c r="H12" s="19"/>
      <c r="I12" s="26"/>
      <c r="J12" s="26"/>
      <c r="K12" s="19"/>
      <c r="L12" s="26"/>
    </row>
    <row r="13" spans="1:22" ht="15" customHeight="1">
      <c r="A13" t="s">
        <v>81</v>
      </c>
      <c r="B13" t="s">
        <v>56</v>
      </c>
      <c r="C13">
        <v>6.75</v>
      </c>
      <c r="D13">
        <v>6</v>
      </c>
      <c r="E13" s="19"/>
      <c r="F13">
        <v>8</v>
      </c>
      <c r="G13">
        <v>5.125</v>
      </c>
      <c r="H13" s="19"/>
      <c r="I13" s="26"/>
      <c r="J13" s="26"/>
      <c r="K13" s="19"/>
      <c r="L13" s="26"/>
    </row>
    <row r="14" spans="1:22" ht="15" customHeight="1" thickBot="1">
      <c r="A14" t="s">
        <v>57</v>
      </c>
      <c r="B14" t="s">
        <v>58</v>
      </c>
      <c r="C14">
        <v>7.25</v>
      </c>
      <c r="D14">
        <v>7.75</v>
      </c>
      <c r="E14" s="19"/>
      <c r="F14">
        <v>9</v>
      </c>
      <c r="G14">
        <v>7.875</v>
      </c>
      <c r="H14" s="19"/>
      <c r="I14" s="26"/>
      <c r="J14" s="26"/>
      <c r="K14" s="19"/>
      <c r="L14" s="26"/>
    </row>
    <row r="15" spans="1:22" s="4" customFormat="1" ht="15" customHeight="1">
      <c r="A15" t="s">
        <v>59</v>
      </c>
      <c r="B15" t="s">
        <v>60</v>
      </c>
      <c r="C15">
        <v>6.25</v>
      </c>
      <c r="D15">
        <v>6.25</v>
      </c>
      <c r="E15" s="9"/>
      <c r="F15">
        <v>9</v>
      </c>
      <c r="G15">
        <v>7.875</v>
      </c>
      <c r="H15" s="8"/>
      <c r="I15" s="23"/>
      <c r="J15" s="23"/>
      <c r="K15" s="9"/>
      <c r="L15" s="27"/>
      <c r="P15" s="55"/>
      <c r="Q15" s="56"/>
      <c r="R15" s="56"/>
      <c r="S15" s="56"/>
      <c r="T15" s="56"/>
      <c r="U15" s="56"/>
      <c r="V15" s="57"/>
    </row>
    <row r="16" spans="1:22" s="12" customFormat="1" ht="15" customHeight="1">
      <c r="A16" t="s">
        <v>61</v>
      </c>
      <c r="B16" t="s">
        <v>62</v>
      </c>
      <c r="C16">
        <v>8.5</v>
      </c>
      <c r="D16">
        <v>7.25</v>
      </c>
      <c r="E16" s="11"/>
      <c r="F16">
        <v>7</v>
      </c>
      <c r="G16">
        <v>6.875</v>
      </c>
      <c r="H16" s="11"/>
      <c r="I16" s="23"/>
      <c r="J16" s="23"/>
      <c r="K16" s="11"/>
      <c r="L16" s="28"/>
      <c r="P16" s="52"/>
      <c r="Q16" s="53"/>
      <c r="R16" s="53"/>
      <c r="S16" s="53"/>
      <c r="T16" s="53"/>
      <c r="U16" s="53"/>
      <c r="V16" s="54"/>
    </row>
    <row r="17" spans="1:22" s="12" customFormat="1" ht="15" customHeight="1">
      <c r="A17" t="s">
        <v>82</v>
      </c>
      <c r="B17" t="s">
        <v>63</v>
      </c>
      <c r="C17">
        <v>5</v>
      </c>
      <c r="D17">
        <v>6.25</v>
      </c>
      <c r="E17" s="11"/>
      <c r="F17">
        <v>8</v>
      </c>
      <c r="G17">
        <v>5.125</v>
      </c>
      <c r="H17" s="11"/>
      <c r="I17" s="24"/>
      <c r="J17" s="24"/>
      <c r="K17" s="11"/>
      <c r="L17" s="28"/>
      <c r="P17" s="52"/>
      <c r="Q17" s="53"/>
      <c r="R17" s="53"/>
      <c r="S17" s="53"/>
      <c r="T17" s="53"/>
      <c r="U17" s="53"/>
      <c r="V17" s="54"/>
    </row>
    <row r="18" spans="1:22" s="1" customFormat="1" ht="15" customHeight="1" thickBot="1">
      <c r="A18" t="s">
        <v>83</v>
      </c>
      <c r="B18" t="s">
        <v>84</v>
      </c>
      <c r="C18">
        <v>4.5</v>
      </c>
      <c r="D18"/>
      <c r="E18" s="17">
        <v>9</v>
      </c>
      <c r="F18">
        <v>8</v>
      </c>
      <c r="G18">
        <v>7.5</v>
      </c>
      <c r="H18" s="17"/>
      <c r="I18" s="25"/>
      <c r="J18" s="25"/>
      <c r="K18" s="17"/>
      <c r="L18" s="25"/>
      <c r="P18" s="49"/>
      <c r="Q18" s="50"/>
      <c r="R18" s="50"/>
      <c r="S18" s="50"/>
      <c r="T18" s="50"/>
      <c r="U18" s="50"/>
      <c r="V18" s="51"/>
    </row>
    <row r="19" spans="1:22" s="1" customFormat="1" ht="16.05" customHeight="1">
      <c r="A19" t="s">
        <v>64</v>
      </c>
      <c r="B19" t="s">
        <v>65</v>
      </c>
      <c r="C19">
        <v>7</v>
      </c>
      <c r="D19">
        <v>6.5</v>
      </c>
      <c r="E19" s="17"/>
      <c r="F19">
        <v>8</v>
      </c>
      <c r="G19">
        <v>5.125</v>
      </c>
      <c r="H19" s="17"/>
      <c r="I19" s="25"/>
      <c r="J19" s="25"/>
      <c r="K19" s="17"/>
      <c r="L19" s="25"/>
      <c r="P19" s="47"/>
      <c r="Q19" s="48"/>
      <c r="R19" s="48"/>
      <c r="S19" s="48"/>
      <c r="T19" s="48"/>
      <c r="U19" s="48"/>
      <c r="V19" s="48"/>
    </row>
    <row r="20" spans="1:22" s="1" customFormat="1" ht="15" customHeight="1">
      <c r="A20" t="s">
        <v>85</v>
      </c>
      <c r="B20" t="s">
        <v>66</v>
      </c>
      <c r="C20">
        <v>9</v>
      </c>
      <c r="D20">
        <v>7.75</v>
      </c>
      <c r="E20" s="17"/>
      <c r="F20">
        <v>8</v>
      </c>
      <c r="G20">
        <v>7.5</v>
      </c>
      <c r="H20" s="17"/>
      <c r="I20" s="25"/>
      <c r="J20" s="25"/>
      <c r="K20" s="17"/>
      <c r="L20" s="25"/>
    </row>
    <row r="21" spans="1:22" s="1" customFormat="1" ht="15" customHeight="1">
      <c r="A21" t="s">
        <v>67</v>
      </c>
      <c r="B21" t="s">
        <v>68</v>
      </c>
      <c r="C21">
        <v>7.5</v>
      </c>
      <c r="D21">
        <v>7.75</v>
      </c>
      <c r="E21" s="19"/>
      <c r="F21">
        <v>10</v>
      </c>
      <c r="G21">
        <v>7.125</v>
      </c>
      <c r="H21" s="19"/>
      <c r="I21" s="26"/>
      <c r="J21" s="26"/>
      <c r="K21" s="19"/>
      <c r="L21" s="26"/>
      <c r="O21"/>
      <c r="P21"/>
      <c r="Q21"/>
      <c r="R21"/>
      <c r="S21"/>
    </row>
    <row r="22" spans="1:22" ht="15" customHeight="1">
      <c r="A22" t="s">
        <v>69</v>
      </c>
      <c r="B22" t="s">
        <v>56</v>
      </c>
      <c r="C22">
        <v>5</v>
      </c>
      <c r="D22">
        <v>3.75</v>
      </c>
      <c r="E22" s="19">
        <v>7</v>
      </c>
      <c r="F22">
        <v>7</v>
      </c>
      <c r="G22">
        <v>7.625</v>
      </c>
      <c r="H22" s="19"/>
      <c r="I22" s="26"/>
      <c r="J22" s="26"/>
      <c r="K22" s="19"/>
      <c r="L22" s="26"/>
    </row>
    <row r="23" spans="1:22" ht="15" customHeight="1">
      <c r="A23" t="s">
        <v>70</v>
      </c>
      <c r="B23" t="s">
        <v>71</v>
      </c>
      <c r="C23">
        <v>6.5</v>
      </c>
      <c r="D23">
        <v>5.5</v>
      </c>
      <c r="E23" s="19"/>
      <c r="F23">
        <v>10</v>
      </c>
      <c r="G23">
        <v>7.875</v>
      </c>
      <c r="H23" s="19"/>
      <c r="I23" s="26"/>
      <c r="J23" s="26"/>
      <c r="K23" s="19"/>
      <c r="L23" s="26"/>
    </row>
    <row r="24" spans="1:22" ht="15" customHeight="1">
      <c r="A24" t="s">
        <v>72</v>
      </c>
      <c r="B24" t="s">
        <v>73</v>
      </c>
      <c r="C24">
        <v>9</v>
      </c>
      <c r="D24">
        <v>8.5</v>
      </c>
      <c r="E24" s="19"/>
      <c r="F24">
        <v>10</v>
      </c>
      <c r="G24">
        <v>7.875</v>
      </c>
      <c r="H24" s="19"/>
      <c r="I24" s="26"/>
      <c r="J24" s="26"/>
      <c r="K24" s="19"/>
      <c r="L24" s="26"/>
    </row>
    <row r="25" spans="1:22" ht="15" customHeight="1">
      <c r="A25" t="s">
        <v>86</v>
      </c>
      <c r="B25" t="s">
        <v>74</v>
      </c>
      <c r="C25">
        <v>5.5</v>
      </c>
      <c r="D25">
        <v>5.75</v>
      </c>
      <c r="E25" s="19"/>
      <c r="F25">
        <v>7</v>
      </c>
      <c r="G25">
        <v>6.875</v>
      </c>
      <c r="H25" s="19"/>
      <c r="I25" s="26"/>
      <c r="J25" s="26"/>
      <c r="K25" s="19"/>
      <c r="L25" s="26"/>
    </row>
    <row r="26" spans="1:22" ht="15" customHeight="1">
      <c r="A26" t="s">
        <v>75</v>
      </c>
      <c r="B26" t="s">
        <v>89</v>
      </c>
      <c r="C26">
        <v>6</v>
      </c>
      <c r="D26">
        <v>8</v>
      </c>
      <c r="E26" s="19"/>
      <c r="F26">
        <v>8</v>
      </c>
      <c r="G26">
        <v>7.5</v>
      </c>
      <c r="H26" s="19"/>
      <c r="I26" s="26"/>
      <c r="J26" s="26"/>
      <c r="K26" s="19"/>
      <c r="L26" s="26"/>
    </row>
    <row r="27" spans="1:22" ht="15" customHeight="1">
      <c r="A27" t="s">
        <v>76</v>
      </c>
      <c r="B27" t="s">
        <v>77</v>
      </c>
      <c r="C27">
        <v>10</v>
      </c>
      <c r="D27">
        <v>8.5</v>
      </c>
      <c r="E27" s="19"/>
      <c r="F27">
        <v>9</v>
      </c>
      <c r="G27">
        <v>7.875</v>
      </c>
      <c r="H27" s="19"/>
      <c r="I27" s="26"/>
      <c r="J27" s="26"/>
      <c r="K27" s="19"/>
      <c r="L27" s="26"/>
    </row>
    <row r="28" spans="1:22" ht="15" customHeight="1">
      <c r="A28" t="s">
        <v>87</v>
      </c>
      <c r="B28" t="s">
        <v>78</v>
      </c>
      <c r="C28">
        <v>7</v>
      </c>
      <c r="D28">
        <v>6</v>
      </c>
      <c r="E28" s="19"/>
      <c r="F28">
        <v>7</v>
      </c>
      <c r="G28">
        <v>7.625</v>
      </c>
      <c r="H28" s="19"/>
      <c r="I28" s="26"/>
      <c r="J28" s="26"/>
      <c r="K28" s="19"/>
      <c r="L28" s="26"/>
    </row>
    <row r="29" spans="1:22" ht="15" customHeight="1">
      <c r="A29" t="s">
        <v>88</v>
      </c>
      <c r="B29" t="s">
        <v>79</v>
      </c>
      <c r="C29">
        <v>10</v>
      </c>
      <c r="D29">
        <v>8</v>
      </c>
      <c r="E29" s="19"/>
      <c r="F29">
        <v>10</v>
      </c>
      <c r="G29">
        <v>7.875</v>
      </c>
      <c r="H29" s="19"/>
      <c r="I29" s="26"/>
      <c r="J29" s="26"/>
      <c r="K29" s="19"/>
      <c r="L29" s="26"/>
    </row>
    <row r="30" spans="1:22">
      <c r="A30" s="18"/>
      <c r="B30" s="10"/>
      <c r="C30" s="20"/>
      <c r="D30" s="20"/>
      <c r="E30" s="19"/>
      <c r="F30" s="19"/>
      <c r="G30" s="20"/>
      <c r="H30" s="20"/>
      <c r="I30" s="26"/>
      <c r="J30" s="19"/>
      <c r="K30" s="19"/>
      <c r="L30" s="26"/>
    </row>
    <row r="33" spans="1:1">
      <c r="A33" s="29" t="s">
        <v>26</v>
      </c>
    </row>
    <row r="34" spans="1:1">
      <c r="A34" s="2" t="s">
        <v>32</v>
      </c>
    </row>
    <row r="35" spans="1:1">
      <c r="A35" s="2" t="s">
        <v>27</v>
      </c>
    </row>
    <row r="36" spans="1:1">
      <c r="A36" s="2" t="s">
        <v>28</v>
      </c>
    </row>
    <row r="37" spans="1:1">
      <c r="A37" s="2" t="s">
        <v>29</v>
      </c>
    </row>
    <row r="38" spans="1:1">
      <c r="A38" s="2" t="s">
        <v>30</v>
      </c>
    </row>
    <row r="39" spans="1:1">
      <c r="A39" s="2" t="s">
        <v>31</v>
      </c>
    </row>
    <row r="40" spans="1:1">
      <c r="A40" s="2" t="s">
        <v>33</v>
      </c>
    </row>
    <row r="41" spans="1:1">
      <c r="A41" s="2" t="s">
        <v>34</v>
      </c>
    </row>
    <row r="42" spans="1:1">
      <c r="A42" s="2" t="s">
        <v>35</v>
      </c>
    </row>
    <row r="43" spans="1:1">
      <c r="A43" s="2" t="s">
        <v>36</v>
      </c>
    </row>
    <row r="44" spans="1:1">
      <c r="A44" s="2" t="s">
        <v>40</v>
      </c>
    </row>
    <row r="45" spans="1:1">
      <c r="A45" s="2" t="s">
        <v>37</v>
      </c>
    </row>
    <row r="46" spans="1:1">
      <c r="A46" s="2" t="s">
        <v>38</v>
      </c>
    </row>
    <row r="47" spans="1:1">
      <c r="A47" s="2" t="s">
        <v>39</v>
      </c>
    </row>
  </sheetData>
  <mergeCells count="12">
    <mergeCell ref="P9:V9"/>
    <mergeCell ref="A1:B1"/>
    <mergeCell ref="A2:B2"/>
    <mergeCell ref="P5:V5"/>
    <mergeCell ref="P6:V6"/>
    <mergeCell ref="P7:V7"/>
    <mergeCell ref="P8:V8"/>
    <mergeCell ref="P19:V19"/>
    <mergeCell ref="P18:V18"/>
    <mergeCell ref="P17:V17"/>
    <mergeCell ref="P16:V16"/>
    <mergeCell ref="P15:V15"/>
  </mergeCells>
  <conditionalFormatting sqref="C5:G29">
    <cfRule type="cellIs" dxfId="4" priority="5" operator="lessThan">
      <formula>49999999999999</formula>
    </cfRule>
  </conditionalFormatting>
  <conditionalFormatting sqref="E5:E29">
    <cfRule type="cellIs" dxfId="3" priority="3" operator="lessThan">
      <formula>499999999</formula>
    </cfRule>
  </conditionalFormatting>
  <conditionalFormatting sqref="H5:H29">
    <cfRule type="cellIs" dxfId="2" priority="4" operator="greaterThan">
      <formula>0.15</formula>
    </cfRule>
  </conditionalFormatting>
  <conditionalFormatting sqref="I5:L29">
    <cfRule type="cellIs" dxfId="1" priority="1" operator="lessThan">
      <formula>499999999</formula>
    </cfRule>
  </conditionalFormatting>
  <conditionalFormatting sqref="K19:K29 E19:F30 J30:K30">
    <cfRule type="cellIs" dxfId="0" priority="2" operator="lessThan">
      <formula>4999999</formula>
    </cfRule>
  </conditionalFormatting>
  <pageMargins left="0.7" right="0.7" top="0.75" bottom="0.75" header="0.3" footer="0.3"/>
  <headerFooter>
    <oddHeader>&amp;R&amp;"Calibri"&amp;10&amp;K0000FF Interno&amp;1#_x000D_</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11.44140625" defaultRowHeight="14.4"/>
  <sheetData/>
  <pageMargins left="0.7" right="0.7" top="0.75" bottom="0.75" header="0.3" footer="0.3"/>
  <headerFooter>
    <oddHeader>&amp;R&amp;"Calibri"&amp;10&amp;K0000FF Interno&amp;1#_x000D_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42fb30-e354-4516-8b86-d9e168eb01d3">
      <Terms xmlns="http://schemas.microsoft.com/office/infopath/2007/PartnerControls"/>
    </lcf76f155ced4ddcb4097134ff3c332f>
    <TaxCatchAll xmlns="d5591ef4-4548-42d5-b66f-d1912017c95a" xsi:nil="true"/>
    <_ip_UnifiedCompliancePolicyUIAction xmlns="http://schemas.microsoft.com/sharepoint/v3" xsi:nil="true"/>
    <_ip_UnifiedCompliancePolicyProperties xmlns="http://schemas.microsoft.com/sharepoint/v3" xsi:nil="true"/>
    <Disponibilidadbloqueadaenkronowin xmlns="a242fb30-e354-4516-8b86-d9e168eb01d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A7F6BC22453964AA106603299D68AE3" ma:contentTypeVersion="22" ma:contentTypeDescription="Crear nuevo documento." ma:contentTypeScope="" ma:versionID="b38b114b5b21b455710a90149eab4888">
  <xsd:schema xmlns:xsd="http://www.w3.org/2001/XMLSchema" xmlns:xs="http://www.w3.org/2001/XMLSchema" xmlns:p="http://schemas.microsoft.com/office/2006/metadata/properties" xmlns:ns1="http://schemas.microsoft.com/sharepoint/v3" xmlns:ns2="a242fb30-e354-4516-8b86-d9e168eb01d3" xmlns:ns3="d5591ef4-4548-42d5-b66f-d1912017c95a" targetNamespace="http://schemas.microsoft.com/office/2006/metadata/properties" ma:root="true" ma:fieldsID="7d9b1e7b2ad13f8fed8fc5639c8adbab" ns1:_="" ns2:_="" ns3:_="">
    <xsd:import namespace="http://schemas.microsoft.com/sharepoint/v3"/>
    <xsd:import namespace="a242fb30-e354-4516-8b86-d9e168eb01d3"/>
    <xsd:import namespace="d5591ef4-4548-42d5-b66f-d1912017c95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Location"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element ref="ns2:Disponibilidadbloqueadaenkronowi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iedades de la Directiva de cumplimiento unificado" ma:hidden="true" ma:internalName="_ip_UnifiedCompliancePolicyProperties">
      <xsd:simpleType>
        <xsd:restriction base="dms:Note"/>
      </xsd:simpleType>
    </xsd:element>
    <xsd:element name="_ip_UnifiedCompliancePolicyUIAction" ma:index="27"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42fb30-e354-4516-8b86-d9e168eb01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b857e10-d438-4471-81b9-9e40dee26af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Disponibilidadbloqueadaenkronowin" ma:index="29" nillable="true" ma:displayName="Disponibilidad bloqueada en kronowin" ma:format="Dropdown" ma:internalName="Disponibilidadbloqueadaenkronowin">
      <xsd:simpleType>
        <xsd:union memberTypes="dms:Text">
          <xsd:simpleType>
            <xsd:restriction base="dms:Choice">
              <xsd:enumeration value="sí"/>
              <xsd:enumeration value="no"/>
              <xsd:enumeration value="pdt petición flexibl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d5591ef4-4548-42d5-b66f-d1912017c95a"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e5b3f2ed-4ea4-4f3d-b460-6ba6bda8bc65}" ma:internalName="TaxCatchAll" ma:showField="CatchAllData" ma:web="d5591ef4-4548-42d5-b66f-d1912017c9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BD5B789-D6EE-4D14-8047-61CB1E0D64E8}">
  <ds:schemaRefs>
    <ds:schemaRef ds:uri="http://schemas.microsoft.com/sharepoint/v3/contenttype/forms"/>
  </ds:schemaRefs>
</ds:datastoreItem>
</file>

<file path=customXml/itemProps2.xml><?xml version="1.0" encoding="utf-8"?>
<ds:datastoreItem xmlns:ds="http://schemas.openxmlformats.org/officeDocument/2006/customXml" ds:itemID="{5C9BA8B8-A11A-45BA-BDA7-B694AF27F24C}">
  <ds:schemaRefs>
    <ds:schemaRef ds:uri="http://schemas.microsoft.com/office/2006/documentManagement/types"/>
    <ds:schemaRef ds:uri="http://purl.org/dc/dcmitype/"/>
    <ds:schemaRef ds:uri="d5591ef4-4548-42d5-b66f-d1912017c95a"/>
    <ds:schemaRef ds:uri="http://schemas.microsoft.com/sharepoint/v3"/>
    <ds:schemaRef ds:uri="http://schemas.microsoft.com/office/infopath/2007/PartnerControls"/>
    <ds:schemaRef ds:uri="http://schemas.microsoft.com/office/2006/metadata/properties"/>
    <ds:schemaRef ds:uri="a242fb30-e354-4516-8b86-d9e168eb01d3"/>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85970D4D-83FC-4252-BBD1-A353B7436C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242fb30-e354-4516-8b86-d9e168eb01d3"/>
    <ds:schemaRef ds:uri="d5591ef4-4548-42d5-b66f-d1912017c9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Notes</vt:lpstr>
      <vt:lpstr>Hoja1</vt:lpstr>
      <vt:lpstr>intrucciones</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Virginia Castillo Navas</cp:lastModifiedBy>
  <cp:revision/>
  <dcterms:created xsi:type="dcterms:W3CDTF">2012-10-22T23:17:32Z</dcterms:created>
  <dcterms:modified xsi:type="dcterms:W3CDTF">2026-07-10T16:19:21Z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0x010100EA7F6BC22453964AA106603299D68AE3</vt:lpwstr>
  </property>
  <property fmtid="{D5CDD505-2E9C-101B-9397-08002B2CF9AE}" pid="3" name="Order">
    <vt:r8>635800</vt:r8>
  </property>
  <property fmtid="{D5CDD505-2E9C-101B-9397-08002B2CF9AE}" pid="4" name="MediaServiceImageTags">
    <vt:lpwstr/>
  </property>
  <property fmtid="{D5CDD505-2E9C-101B-9397-08002B2CF9AE}" pid="5" name="MSIP_Label_504dd16c-3145-49ee-83f9-a0532d9206d3_Enabled">
    <vt:lpwstr>true</vt:lpwstr>
  </property>
  <property fmtid="{D5CDD505-2E9C-101B-9397-08002B2CF9AE}" pid="6" name="MSIP_Label_504dd16c-3145-49ee-83f9-a0532d9206d3_SetDate">
    <vt:lpwstr>2025-01-17T09:52:17Z</vt:lpwstr>
  </property>
  <property fmtid="{D5CDD505-2E9C-101B-9397-08002B2CF9AE}" pid="7" name="MSIP_Label_504dd16c-3145-49ee-83f9-a0532d9206d3_Method">
    <vt:lpwstr>Standard</vt:lpwstr>
  </property>
  <property fmtid="{D5CDD505-2E9C-101B-9397-08002B2CF9AE}" pid="8" name="MSIP_Label_504dd16c-3145-49ee-83f9-a0532d9206d3_Name">
    <vt:lpwstr>Interno</vt:lpwstr>
  </property>
  <property fmtid="{D5CDD505-2E9C-101B-9397-08002B2CF9AE}" pid="9" name="MSIP_Label_504dd16c-3145-49ee-83f9-a0532d9206d3_SiteId">
    <vt:lpwstr>31651f30-e0e9-431c-8c5e-f5c49130f662</vt:lpwstr>
  </property>
  <property fmtid="{D5CDD505-2E9C-101B-9397-08002B2CF9AE}" pid="10" name="MSIP_Label_504dd16c-3145-49ee-83f9-a0532d9206d3_ActionId">
    <vt:lpwstr>0ea74f70-ff83-4bce-9d00-79e5e596ab4d</vt:lpwstr>
  </property>
  <property fmtid="{D5CDD505-2E9C-101B-9397-08002B2CF9AE}" pid="11" name="MSIP_Label_504dd16c-3145-49ee-83f9-a0532d9206d3_ContentBits">
    <vt:lpwstr>1</vt:lpwstr>
  </property>
</Properties>
</file>